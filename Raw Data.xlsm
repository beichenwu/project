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David Work\Master\ECE650\Project\"/>
    </mc:Choice>
  </mc:AlternateContent>
  <bookViews>
    <workbookView xWindow="0" yWindow="0" windowWidth="23040" windowHeight="9384" activeTab="2"/>
  </bookViews>
  <sheets>
    <sheet name="CNF" sheetId="1" r:id="rId1"/>
    <sheet name="APP1" sheetId="4" r:id="rId2"/>
    <sheet name="APP2" sheetId="3" r:id="rId3"/>
    <sheet name="Processed" sheetId="2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3" i="3" l="1"/>
  <c r="J73" i="3"/>
  <c r="I73" i="3"/>
  <c r="H73" i="3"/>
  <c r="G73" i="3"/>
  <c r="F73" i="3"/>
  <c r="E73" i="3"/>
  <c r="D73" i="3"/>
  <c r="C73" i="3"/>
  <c r="B73" i="3"/>
  <c r="K61" i="3"/>
  <c r="J61" i="3"/>
  <c r="I61" i="3"/>
  <c r="H61" i="3"/>
  <c r="G61" i="3"/>
  <c r="F61" i="3"/>
  <c r="E61" i="3"/>
  <c r="D61" i="3"/>
  <c r="C61" i="3"/>
  <c r="B61" i="3"/>
  <c r="K49" i="3"/>
  <c r="J49" i="3"/>
  <c r="I49" i="3"/>
  <c r="H49" i="3"/>
  <c r="G49" i="3"/>
  <c r="F49" i="3"/>
  <c r="E49" i="3"/>
  <c r="D49" i="3"/>
  <c r="C49" i="3"/>
  <c r="B49" i="3"/>
  <c r="K37" i="3"/>
  <c r="J37" i="3"/>
  <c r="I37" i="3"/>
  <c r="H37" i="3"/>
  <c r="G37" i="3"/>
  <c r="F37" i="3"/>
  <c r="E37" i="3"/>
  <c r="D37" i="3"/>
  <c r="C37" i="3"/>
  <c r="B37" i="3"/>
  <c r="K25" i="3"/>
  <c r="J25" i="3"/>
  <c r="I25" i="3"/>
  <c r="H25" i="3"/>
  <c r="G25" i="3"/>
  <c r="F25" i="3"/>
  <c r="E25" i="3"/>
  <c r="D25" i="3"/>
  <c r="C25" i="3"/>
  <c r="B25" i="3"/>
  <c r="K13" i="3"/>
  <c r="J13" i="3"/>
  <c r="I13" i="3"/>
  <c r="H13" i="3"/>
  <c r="G13" i="3"/>
  <c r="F13" i="3"/>
  <c r="E13" i="3"/>
  <c r="D13" i="3"/>
  <c r="C13" i="3"/>
  <c r="B13" i="3"/>
  <c r="K73" i="4"/>
  <c r="J73" i="4"/>
  <c r="I73" i="4"/>
  <c r="H73" i="4"/>
  <c r="G73" i="4"/>
  <c r="F73" i="4"/>
  <c r="E73" i="4"/>
  <c r="D73" i="4"/>
  <c r="C73" i="4"/>
  <c r="B73" i="4"/>
  <c r="K61" i="4"/>
  <c r="J61" i="4"/>
  <c r="I61" i="4"/>
  <c r="H61" i="4"/>
  <c r="G61" i="4"/>
  <c r="F61" i="4"/>
  <c r="E61" i="4"/>
  <c r="D61" i="4"/>
  <c r="C61" i="4"/>
  <c r="B61" i="4"/>
  <c r="K49" i="4"/>
  <c r="J49" i="4"/>
  <c r="I49" i="4"/>
  <c r="H49" i="4"/>
  <c r="G49" i="4"/>
  <c r="F49" i="4"/>
  <c r="E49" i="4"/>
  <c r="D49" i="4"/>
  <c r="C49" i="4"/>
  <c r="B49" i="4"/>
  <c r="K37" i="4"/>
  <c r="J37" i="4"/>
  <c r="I37" i="4"/>
  <c r="H37" i="4"/>
  <c r="G37" i="4"/>
  <c r="F37" i="4"/>
  <c r="E37" i="4"/>
  <c r="D37" i="4"/>
  <c r="C37" i="4"/>
  <c r="B37" i="4"/>
  <c r="K25" i="4"/>
  <c r="J25" i="4"/>
  <c r="I25" i="4"/>
  <c r="H25" i="4"/>
  <c r="G25" i="4"/>
  <c r="F25" i="4"/>
  <c r="E25" i="4"/>
  <c r="D25" i="4"/>
  <c r="C25" i="4"/>
  <c r="B25" i="4"/>
  <c r="K13" i="4"/>
  <c r="J13" i="4"/>
  <c r="I13" i="4"/>
  <c r="H13" i="4"/>
  <c r="G13" i="4"/>
  <c r="F13" i="4"/>
  <c r="E13" i="4"/>
  <c r="D13" i="4"/>
  <c r="C13" i="4"/>
  <c r="B13" i="4"/>
  <c r="C2" i="2"/>
  <c r="C3" i="2"/>
  <c r="C4" i="2"/>
  <c r="C5" i="2"/>
  <c r="C6" i="2"/>
  <c r="C7" i="2"/>
  <c r="B7" i="2"/>
  <c r="B6" i="2"/>
  <c r="B5" i="2"/>
  <c r="B4" i="2"/>
  <c r="B3" i="2"/>
  <c r="B2" i="2"/>
  <c r="M73" i="1"/>
  <c r="M61" i="1"/>
  <c r="M49" i="1"/>
  <c r="M37" i="1"/>
  <c r="M25" i="1"/>
  <c r="M13" i="1"/>
  <c r="C73" i="1"/>
  <c r="D73" i="1"/>
  <c r="E73" i="1"/>
  <c r="F73" i="1"/>
  <c r="G73" i="1"/>
  <c r="H73" i="1"/>
  <c r="L73" i="1" s="1"/>
  <c r="I73" i="1"/>
  <c r="J73" i="1"/>
  <c r="K73" i="1"/>
  <c r="B73" i="1"/>
  <c r="C61" i="1"/>
  <c r="D61" i="1"/>
  <c r="E61" i="1"/>
  <c r="F61" i="1"/>
  <c r="G61" i="1"/>
  <c r="H61" i="1"/>
  <c r="I61" i="1"/>
  <c r="J61" i="1"/>
  <c r="K61" i="1"/>
  <c r="B61" i="1"/>
  <c r="C49" i="1"/>
  <c r="D49" i="1"/>
  <c r="E49" i="1"/>
  <c r="F49" i="1"/>
  <c r="G49" i="1"/>
  <c r="H49" i="1"/>
  <c r="I49" i="1"/>
  <c r="J49" i="1"/>
  <c r="K49" i="1"/>
  <c r="B49" i="1"/>
  <c r="C37" i="1"/>
  <c r="L37" i="1" s="1"/>
  <c r="D37" i="1"/>
  <c r="E37" i="1"/>
  <c r="F37" i="1"/>
  <c r="G37" i="1"/>
  <c r="H37" i="1"/>
  <c r="I37" i="1"/>
  <c r="J37" i="1"/>
  <c r="K37" i="1"/>
  <c r="B37" i="1"/>
  <c r="C25" i="1"/>
  <c r="D25" i="1"/>
  <c r="E25" i="1"/>
  <c r="F25" i="1"/>
  <c r="G25" i="1"/>
  <c r="H25" i="1"/>
  <c r="I25" i="1"/>
  <c r="J25" i="1"/>
  <c r="K25" i="1"/>
  <c r="B25" i="1"/>
  <c r="C13" i="1"/>
  <c r="D13" i="1"/>
  <c r="E13" i="1"/>
  <c r="F13" i="1"/>
  <c r="L13" i="1" s="1"/>
  <c r="G13" i="1"/>
  <c r="H13" i="1"/>
  <c r="I13" i="1"/>
  <c r="J13" i="1"/>
  <c r="K13" i="1"/>
  <c r="B13" i="1"/>
  <c r="L25" i="1"/>
  <c r="L61" i="3" l="1"/>
  <c r="M61" i="3"/>
  <c r="M49" i="3"/>
  <c r="M25" i="3"/>
  <c r="M73" i="3"/>
  <c r="L37" i="3"/>
  <c r="M37" i="3"/>
  <c r="L13" i="3"/>
  <c r="M13" i="3"/>
  <c r="L25" i="3"/>
  <c r="L49" i="3"/>
  <c r="L73" i="3"/>
  <c r="M73" i="4"/>
  <c r="M49" i="4"/>
  <c r="M25" i="4"/>
  <c r="M13" i="4"/>
  <c r="M61" i="4"/>
  <c r="M37" i="4"/>
  <c r="L13" i="4"/>
  <c r="L37" i="4"/>
  <c r="L25" i="4"/>
  <c r="L49" i="4"/>
  <c r="L73" i="4"/>
  <c r="L61" i="4"/>
  <c r="L61" i="1"/>
  <c r="L49" i="1"/>
</calcChain>
</file>

<file path=xl/sharedStrings.xml><?xml version="1.0" encoding="utf-8"?>
<sst xmlns="http://schemas.openxmlformats.org/spreadsheetml/2006/main" count="370" uniqueCount="132">
  <si>
    <t>CNF</t>
  </si>
  <si>
    <t>V5_1</t>
  </si>
  <si>
    <t>V5_2</t>
  </si>
  <si>
    <t>V5_3</t>
  </si>
  <si>
    <t>V5_4</t>
  </si>
  <si>
    <t>V5_5</t>
  </si>
  <si>
    <t>V5_6</t>
  </si>
  <si>
    <t>V5_7</t>
  </si>
  <si>
    <t>V5_8</t>
  </si>
  <si>
    <t>V5_9</t>
  </si>
  <si>
    <t>V5_10</t>
  </si>
  <si>
    <t>V5</t>
  </si>
  <si>
    <t>V7_1</t>
  </si>
  <si>
    <t>V7_2</t>
  </si>
  <si>
    <t>V7_3</t>
  </si>
  <si>
    <t>V7_4</t>
  </si>
  <si>
    <t>V7_5</t>
  </si>
  <si>
    <t>V7_6</t>
  </si>
  <si>
    <t>V7_7</t>
  </si>
  <si>
    <t>V7_8</t>
  </si>
  <si>
    <t>V7_9</t>
  </si>
  <si>
    <t>V7_10</t>
  </si>
  <si>
    <t>V7</t>
  </si>
  <si>
    <t>V10_1</t>
  </si>
  <si>
    <t>V10_2</t>
  </si>
  <si>
    <t>V10_3</t>
  </si>
  <si>
    <t>V10_4</t>
  </si>
  <si>
    <t>V10_5</t>
  </si>
  <si>
    <t>V10_6</t>
  </si>
  <si>
    <t>V10_7</t>
  </si>
  <si>
    <t>V10_8</t>
  </si>
  <si>
    <t>V10_9</t>
  </si>
  <si>
    <t>V10_10</t>
  </si>
  <si>
    <t>CPU time for CNF_SAT_VCis 0 seconds, 16399429 nanoseconds</t>
  </si>
  <si>
    <t>V10</t>
  </si>
  <si>
    <t>V13_1</t>
  </si>
  <si>
    <t>V13_2</t>
  </si>
  <si>
    <t>V13_3</t>
  </si>
  <si>
    <t>V13_4</t>
  </si>
  <si>
    <t>V13_5</t>
  </si>
  <si>
    <t>V13_6</t>
  </si>
  <si>
    <t>V13_7</t>
  </si>
  <si>
    <t>V13_8</t>
  </si>
  <si>
    <t>V13_9</t>
  </si>
  <si>
    <t>V13_10</t>
  </si>
  <si>
    <t>V13</t>
  </si>
  <si>
    <t>V15</t>
  </si>
  <si>
    <t>V17</t>
  </si>
  <si>
    <t>V15_1</t>
  </si>
  <si>
    <t>V15_2</t>
  </si>
  <si>
    <t>V15_3</t>
  </si>
  <si>
    <t>V15_4</t>
  </si>
  <si>
    <t>V15_5</t>
  </si>
  <si>
    <t>V15_6</t>
  </si>
  <si>
    <t>V15_7</t>
  </si>
  <si>
    <t>V15_8</t>
  </si>
  <si>
    <t>V15_9</t>
  </si>
  <si>
    <t>V15_10</t>
  </si>
  <si>
    <t>V17_1</t>
  </si>
  <si>
    <t>V17_2</t>
  </si>
  <si>
    <t>V17_3</t>
  </si>
  <si>
    <t>V17_4</t>
  </si>
  <si>
    <t>V17_5</t>
  </si>
  <si>
    <t>V17_6</t>
  </si>
  <si>
    <t>V17_7</t>
  </si>
  <si>
    <t>V17_8</t>
  </si>
  <si>
    <t>V17_9</t>
  </si>
  <si>
    <t>V17_10</t>
  </si>
  <si>
    <t>V 17</t>
  </si>
  <si>
    <t>E {&lt;1,8&gt;,&lt;8,2&gt;,&lt;9,1&gt;,&lt;8,7&gt;,&lt;2,11&gt;,&lt;2,7&gt;,&lt;8,6&gt;,&lt;0,9&gt;,&lt;7,5&gt;,&lt;3,5&gt;,&lt;0,15&gt;,&lt;2,16&gt;,&lt;2,1&gt;,&lt;4,13&gt;,&lt;0,16&gt;,&lt;7,1&gt;,&lt;2,15&gt;,&lt;2,5&gt;,&lt;4,5&gt;,&lt;10,0&gt;,&lt;3,11&gt;,&lt;11,14&gt;,&lt;1,10&gt;,&lt;6,10&gt;,&lt;3,15&gt;}</t>
  </si>
  <si>
    <t xml:space="preserve">APPROX_VC_1: 0 1 2 3 4 6 7 11 </t>
  </si>
  <si>
    <t>CPU time for APPROX_VC_1is 0 seconds, 119039 nanoseconds</t>
  </si>
  <si>
    <t xml:space="preserve">APPROX_VC_2: 0 1 2 3 4 5 6 7 8 9 10 11 13 15 </t>
  </si>
  <si>
    <t>CNF_SAT_VC: 0 1 2 3 4 6 7 11</t>
  </si>
  <si>
    <t>CPU time for CNF_SAT_VCis 42 seconds, 437767236 nanoseconds</t>
  </si>
  <si>
    <t>CPU time for APPROX_VC_1is 0 seconds, 82782 nanoseconds</t>
  </si>
  <si>
    <t>CPU time for CNF_SAT_VCis 49 seconds, 509102028 nanoseconds</t>
  </si>
  <si>
    <t>CPU time for APPROX_VC_1is 0 seconds, 91726 nanoseconds</t>
  </si>
  <si>
    <t>CPU time for CNF_SAT_VCis 42 seconds, 381971370 nanoseconds</t>
  </si>
  <si>
    <t>CPU time for APPROX_VC_1is 0 seconds, 68561 nanoseconds</t>
  </si>
  <si>
    <t>CPU time for CNF_SAT_VCis 40 seconds, 184262328 nanoseconds</t>
  </si>
  <si>
    <t>CPU time for APPROX_VC_1is 0 seconds, 155233 nanoseconds</t>
  </si>
  <si>
    <t>CPU time for CNF_SAT_VCis 37 seconds, 79667983 nanoseconds</t>
  </si>
  <si>
    <t>CPU time for APPROX_VC_1is 0 seconds, 80957 nanoseconds</t>
  </si>
  <si>
    <t>CPU time for CNF_SAT_VCis 38 seconds, 60433572 nanoseconds</t>
  </si>
  <si>
    <t>CPU time for APPROX_VC_1is 0 seconds, 269205 nanoseconds</t>
  </si>
  <si>
    <t>CPU time for CNF_SAT_VCis 37 seconds, 348120603 nanoseconds</t>
  </si>
  <si>
    <t>CPU time for APPROX_VC_1is 0 seconds, 76020 nanoseconds</t>
  </si>
  <si>
    <t>CPU time for CNF_SAT_VCis 37 seconds, 935447171 nanoseconds</t>
  </si>
  <si>
    <t>CPU time for APPROX_VC_1is 0 seconds, 113088 nanoseconds</t>
  </si>
  <si>
    <t>CPU time for CNF_SAT_VCis 42 seconds, 179851289 nanoseconds</t>
  </si>
  <si>
    <t>CPU time for APPROX_VC_1is 0 seconds, 209676 nanoseconds</t>
  </si>
  <si>
    <t>CPU time for CNF_SAT_VCis 39 seconds, 980719305 nanoseconds</t>
  </si>
  <si>
    <t>E {&lt;16,7&gt;,&lt;1,13&gt;,&lt;11,10&gt;,&lt;9,2&gt;,&lt;4,1&gt;,&lt;3,1&gt;,&lt;14,11&gt;,&lt;11,15&gt;,&lt;1,12&gt;,&lt;9,11&gt;,&lt;1,10&gt;,&lt;7,8&gt;,&lt;1,9&gt;,&lt;7,4&gt;,&lt;6,1&gt;,&lt;7,6&gt;,&lt;5,9&gt;,&lt;4,11&gt;,&lt;16,4&gt;,&lt;13,9&gt;,&lt;11,8&gt;,&lt;3,9&gt;,&lt;10,4&gt;,&lt;12,11&gt;,&lt;5,4&gt;}</t>
  </si>
  <si>
    <t xml:space="preserve">APPROX_VC_1: 1 4 7 9 11 </t>
  </si>
  <si>
    <t>CPU time for APPROX_VC_1is 0 seconds, 304109 nanoseconds</t>
  </si>
  <si>
    <t xml:space="preserve">APPROX_VC_2: 1 2 4 5 7 9 10 11 13 16 </t>
  </si>
  <si>
    <t>CPU time for APPROX_VC_2 is 0 seconds, 114987 nanoseconds</t>
  </si>
  <si>
    <t>CNF_SAT_VC: 1 4 7 9 11</t>
  </si>
  <si>
    <t>CPU time for CNF_SAT_VCis 0 seconds, 24432286 nanoseconds</t>
  </si>
  <si>
    <t>CPU time for APPROX_VC_1is 0 seconds, 160211 nanoseconds</t>
  </si>
  <si>
    <t>CPU time for APPROX_VC_2 is 0 seconds, 55121 nanoseconds</t>
  </si>
  <si>
    <t>CPU time for CNF_SAT_VCis 0 seconds, 17433609 nanoseconds</t>
  </si>
  <si>
    <t>CPU time for APPROX_VC_1is 0 seconds, 128015 nanoseconds</t>
  </si>
  <si>
    <t>CPU time for APPROX_VC_2 is 0 seconds, 169173 nanoseconds</t>
  </si>
  <si>
    <t>CPU time for CNF_SAT_VCis 0 seconds, 24438258 nanoseconds</t>
  </si>
  <si>
    <t>CPU time for APPROX_VC_1is 0 seconds, 54714 nanoseconds</t>
  </si>
  <si>
    <t>CPU time for APPROX_VC_2 is 0 seconds, 36190 nanoseconds</t>
  </si>
  <si>
    <t>CPU time for CNF_SAT_VCis 0 seconds, 19355694 nanoseconds</t>
  </si>
  <si>
    <t>CPU time for APPROX_VC_2 is 0 seconds, 89825 nanoseconds</t>
  </si>
  <si>
    <t>CPU time for APPROX_VC_1is 0 seconds, 67657 nanoseconds</t>
  </si>
  <si>
    <t>CPU time for CNF_SAT_VCis 0 seconds, 23763403 nanoseconds</t>
  </si>
  <si>
    <t>CPU time for APPROX_VC_1is 0 seconds, 234478 nanoseconds</t>
  </si>
  <si>
    <t>CPU time for APPROX_VC_2 is 0 seconds, 268537 nanoseconds</t>
  </si>
  <si>
    <t>CPU time for CNF_SAT_VCis 0 seconds, 18073909 nanoseconds</t>
  </si>
  <si>
    <t>CPU time for APPROX_VC_1is 0 seconds, 169380 nanoseconds</t>
  </si>
  <si>
    <t>CPU time for APPROX_VC_2 is 0 seconds, 132897 nanoseconds</t>
  </si>
  <si>
    <t>CPU time for CNF_SAT_VCis 0 seconds, 27296952 nanoseconds</t>
  </si>
  <si>
    <t>CPU time for APPROX_VC_2 is 0 seconds, 66338 nanoseconds</t>
  </si>
  <si>
    <t>CPU time for APPROX_VC_1is 0 seconds, 143394 nanoseconds</t>
  </si>
  <si>
    <t>CPU time for CNF_SAT_VCis 0 seconds, 20812850 nanoseconds</t>
  </si>
  <si>
    <t>CPU time for APPROX_VC_2 is 0 seconds, 50653 nanoseconds</t>
  </si>
  <si>
    <t>CPU time for APPROX_VC_1is 0 seconds, 128417 nanoseconds</t>
  </si>
  <si>
    <t>CPU time for CNF_SAT_VCis 0 seconds, 16246739 nanoseconds</t>
  </si>
  <si>
    <t>CPU time for APPROX_VC_2 is 0 seconds, 65602 nanoseconds</t>
  </si>
  <si>
    <t>CPU time for APPROX_VC_1is 0 seconds, 112082 nanoseconds</t>
  </si>
  <si>
    <t>CPU time for CNF_SAT_VCis 0 seconds, 22133017 nanoseconds</t>
  </si>
  <si>
    <t>Mean</t>
  </si>
  <si>
    <t>Std</t>
  </si>
  <si>
    <t>(us)</t>
  </si>
  <si>
    <t>APP1</t>
  </si>
  <si>
    <t>APP2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</si>
</sst>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73"/>
  <sheetViews>
    <sheetView workbookViewId="0">
      <selection sqref="A1:N1048576"/>
    </sheetView>
  </sheetViews>
  <sheetFormatPr defaultRowHeight="14.4" x14ac:dyDescent="0.3"/>
  <cols>
    <col min="1" max="1" width="8.88671875" style="1"/>
    <col min="2" max="2" width="11" style="1" bestFit="1" customWidth="1"/>
    <col min="3" max="13" width="8.88671875" style="1"/>
  </cols>
  <sheetData>
    <row r="1" spans="1:14" x14ac:dyDescent="0.3">
      <c r="B1" s="1" t="s">
        <v>0</v>
      </c>
      <c r="L1" s="1" t="s">
        <v>127</v>
      </c>
      <c r="M1" s="1" t="s">
        <v>128</v>
      </c>
      <c r="N1" s="1" t="s">
        <v>67</v>
      </c>
    </row>
    <row r="2" spans="1:14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N2" t="s">
        <v>68</v>
      </c>
    </row>
    <row r="3" spans="1:14" x14ac:dyDescent="0.3">
      <c r="B3" s="1">
        <v>664.54499999999996</v>
      </c>
      <c r="C3" s="1">
        <v>597.58699999999999</v>
      </c>
      <c r="D3" s="1">
        <v>474.54500000000002</v>
      </c>
      <c r="E3" s="1">
        <v>496.57299999999998</v>
      </c>
      <c r="F3" s="1">
        <v>321.66899999999998</v>
      </c>
      <c r="G3" s="1">
        <v>524.27599999999995</v>
      </c>
      <c r="H3" s="1">
        <v>368.95100000000002</v>
      </c>
      <c r="I3" s="1">
        <v>493.35700000000003</v>
      </c>
      <c r="J3" s="1">
        <v>636.39099999999996</v>
      </c>
      <c r="K3" s="1">
        <v>451.74099999999999</v>
      </c>
      <c r="N3" t="s">
        <v>93</v>
      </c>
    </row>
    <row r="4" spans="1:14" x14ac:dyDescent="0.3">
      <c r="B4" s="1">
        <v>377.55399999999997</v>
      </c>
      <c r="C4" s="1">
        <v>373.22399999999999</v>
      </c>
      <c r="D4" s="1">
        <v>379.64800000000002</v>
      </c>
      <c r="E4" s="1">
        <v>347.71600000000001</v>
      </c>
      <c r="F4" s="1">
        <v>210.613</v>
      </c>
      <c r="G4" s="1">
        <v>264.32</v>
      </c>
      <c r="H4" s="1">
        <v>268.86</v>
      </c>
      <c r="I4" s="1">
        <v>305.09899999999999</v>
      </c>
      <c r="J4" s="1">
        <v>364.83600000000001</v>
      </c>
      <c r="K4" s="1">
        <v>286.52499999999998</v>
      </c>
      <c r="N4" t="s">
        <v>94</v>
      </c>
    </row>
    <row r="5" spans="1:14" x14ac:dyDescent="0.3">
      <c r="B5" s="1">
        <v>283.30099999999999</v>
      </c>
      <c r="C5" s="1">
        <v>349.63200000000001</v>
      </c>
      <c r="D5" s="1">
        <v>335.233</v>
      </c>
      <c r="E5" s="1">
        <v>357.73200000000003</v>
      </c>
      <c r="F5" s="1">
        <v>176.727</v>
      </c>
      <c r="G5" s="1">
        <v>329.56299999999999</v>
      </c>
      <c r="H5" s="1">
        <v>149.77199999999999</v>
      </c>
      <c r="I5" s="1">
        <v>367.80799999999999</v>
      </c>
      <c r="J5" s="1">
        <v>169.32499999999999</v>
      </c>
      <c r="K5" s="1">
        <v>130.09700000000001</v>
      </c>
      <c r="N5" t="s">
        <v>95</v>
      </c>
    </row>
    <row r="6" spans="1:14" x14ac:dyDescent="0.3">
      <c r="B6" s="1">
        <v>535.6</v>
      </c>
      <c r="C6" s="1">
        <v>314.59399999999999</v>
      </c>
      <c r="D6" s="1">
        <v>253.93199999999999</v>
      </c>
      <c r="E6" s="1">
        <v>362.31099999999998</v>
      </c>
      <c r="F6" s="1">
        <v>209.095</v>
      </c>
      <c r="G6" s="1">
        <v>175.494</v>
      </c>
      <c r="H6" s="1">
        <v>237.65199999999999</v>
      </c>
      <c r="I6" s="1">
        <v>266.88499999999999</v>
      </c>
      <c r="J6" s="1">
        <v>307.80599999999998</v>
      </c>
      <c r="K6" s="1">
        <v>208.852</v>
      </c>
      <c r="N6" t="s">
        <v>96</v>
      </c>
    </row>
    <row r="7" spans="1:14" x14ac:dyDescent="0.3">
      <c r="B7" s="1">
        <v>299.08199999999999</v>
      </c>
      <c r="C7" s="1">
        <v>382.93599999999998</v>
      </c>
      <c r="D7" s="1">
        <v>263.65499999999997</v>
      </c>
      <c r="E7" s="1">
        <v>341.86799999999999</v>
      </c>
      <c r="F7" s="1">
        <v>265.99099999999999</v>
      </c>
      <c r="G7" s="1">
        <v>190.31</v>
      </c>
      <c r="H7" s="1">
        <v>193.49700000000001</v>
      </c>
      <c r="I7" s="1">
        <v>260.93400000000003</v>
      </c>
      <c r="J7" s="1">
        <v>281.60700000000003</v>
      </c>
      <c r="K7" s="1">
        <v>252.886</v>
      </c>
      <c r="N7" t="s">
        <v>97</v>
      </c>
    </row>
    <row r="8" spans="1:14" x14ac:dyDescent="0.3">
      <c r="B8" s="1">
        <v>313.13900000000001</v>
      </c>
      <c r="C8" s="1">
        <v>395.709</v>
      </c>
      <c r="D8" s="1">
        <v>299.57799999999997</v>
      </c>
      <c r="E8" s="1">
        <v>314.48</v>
      </c>
      <c r="F8" s="1">
        <v>265.33100000000002</v>
      </c>
      <c r="G8" s="1">
        <v>247.529</v>
      </c>
      <c r="H8" s="1">
        <v>227.583</v>
      </c>
      <c r="I8" s="1">
        <v>351.33100000000002</v>
      </c>
      <c r="J8" s="1">
        <v>376.63200000000001</v>
      </c>
      <c r="K8" s="1">
        <v>245.12</v>
      </c>
      <c r="N8" t="s">
        <v>98</v>
      </c>
    </row>
    <row r="9" spans="1:14" x14ac:dyDescent="0.3">
      <c r="B9" s="1">
        <v>300.17200000000003</v>
      </c>
      <c r="C9" s="1">
        <v>393.32799999999997</v>
      </c>
      <c r="D9" s="1">
        <v>340.93799999999999</v>
      </c>
      <c r="E9" s="1">
        <v>373.512</v>
      </c>
      <c r="F9" s="1">
        <v>254.46100000000001</v>
      </c>
      <c r="G9" s="1">
        <v>186.34399999999999</v>
      </c>
      <c r="H9" s="1">
        <v>198.55500000000001</v>
      </c>
      <c r="I9" s="1">
        <v>503.65300000000002</v>
      </c>
      <c r="J9" s="1">
        <v>245.166</v>
      </c>
      <c r="K9" s="1">
        <v>166.363</v>
      </c>
    </row>
    <row r="10" spans="1:14" x14ac:dyDescent="0.3">
      <c r="B10" s="1">
        <v>285.863</v>
      </c>
      <c r="C10" s="1">
        <v>472.32</v>
      </c>
      <c r="D10" s="1">
        <v>390.02499999999998</v>
      </c>
      <c r="E10" s="1">
        <v>421.93400000000003</v>
      </c>
      <c r="F10" s="1">
        <v>262.685</v>
      </c>
      <c r="G10" s="1">
        <v>198.78100000000001</v>
      </c>
      <c r="H10" s="1">
        <v>188.62700000000001</v>
      </c>
      <c r="I10" s="1">
        <v>460.07900000000001</v>
      </c>
      <c r="J10" s="1">
        <v>346.10599999999999</v>
      </c>
      <c r="K10" s="1">
        <v>267.95499999999998</v>
      </c>
      <c r="N10" t="s">
        <v>94</v>
      </c>
    </row>
    <row r="11" spans="1:14" x14ac:dyDescent="0.3">
      <c r="B11" s="1">
        <v>263.63</v>
      </c>
      <c r="C11" s="1">
        <v>504.74700000000001</v>
      </c>
      <c r="D11" s="1">
        <v>342.22699999999998</v>
      </c>
      <c r="E11" s="1">
        <v>318.19799999999998</v>
      </c>
      <c r="F11" s="1">
        <v>246.84399999999999</v>
      </c>
      <c r="G11" s="1">
        <v>224.42</v>
      </c>
      <c r="H11" s="1">
        <v>281.99400000000003</v>
      </c>
      <c r="I11" s="1">
        <v>434.327</v>
      </c>
      <c r="J11" s="1">
        <v>403.03100000000001</v>
      </c>
      <c r="K11" s="1">
        <v>244.154</v>
      </c>
      <c r="N11" t="s">
        <v>100</v>
      </c>
    </row>
    <row r="12" spans="1:14" x14ac:dyDescent="0.3">
      <c r="B12" s="1">
        <v>365.60899999999998</v>
      </c>
      <c r="C12" s="1">
        <v>531.47699999999998</v>
      </c>
      <c r="D12" s="1">
        <v>382.09100000000001</v>
      </c>
      <c r="E12" s="1">
        <v>339.37700000000001</v>
      </c>
      <c r="F12" s="1">
        <v>317.11799999999999</v>
      </c>
      <c r="G12" s="1">
        <v>206.59100000000001</v>
      </c>
      <c r="H12" s="1">
        <v>161.44300000000001</v>
      </c>
      <c r="I12" s="1">
        <v>451.46100000000001</v>
      </c>
      <c r="J12" s="1">
        <v>356.17099999999999</v>
      </c>
      <c r="K12" s="1">
        <v>258.83999999999997</v>
      </c>
      <c r="N12" t="s">
        <v>96</v>
      </c>
    </row>
    <row r="13" spans="1:14" x14ac:dyDescent="0.3">
      <c r="A13" s="2" t="s">
        <v>11</v>
      </c>
      <c r="B13" s="1">
        <f xml:space="preserve"> AVERAGE(B3:B12)/5</f>
        <v>73.769899999999993</v>
      </c>
      <c r="C13" s="1">
        <f t="shared" ref="C13:K13" si="0" xml:space="preserve"> AVERAGE(C3:C12)/5</f>
        <v>86.311080000000004</v>
      </c>
      <c r="D13" s="1">
        <f t="shared" si="0"/>
        <v>69.237439999999992</v>
      </c>
      <c r="E13" s="1">
        <f t="shared" si="0"/>
        <v>73.474019999999996</v>
      </c>
      <c r="F13" s="1">
        <f t="shared" si="0"/>
        <v>50.610679999999988</v>
      </c>
      <c r="G13" s="1">
        <f t="shared" si="0"/>
        <v>50.952560000000005</v>
      </c>
      <c r="H13" s="1">
        <f t="shared" si="0"/>
        <v>45.538680000000014</v>
      </c>
      <c r="I13" s="1">
        <f t="shared" si="0"/>
        <v>77.898679999999999</v>
      </c>
      <c r="J13" s="1">
        <f t="shared" si="0"/>
        <v>69.741419999999991</v>
      </c>
      <c r="K13" s="1">
        <f t="shared" si="0"/>
        <v>50.250660000000003</v>
      </c>
      <c r="L13" s="1">
        <f>AVERAGE(B13:K13)</f>
        <v>64.778512000000006</v>
      </c>
      <c r="M13" s="1">
        <f>_xlfn.STDEV.P(B13:K13)</f>
        <v>13.453154785037427</v>
      </c>
      <c r="N13" t="s">
        <v>101</v>
      </c>
    </row>
    <row r="14" spans="1:14" x14ac:dyDescent="0.3">
      <c r="B14" s="1" t="s">
        <v>12</v>
      </c>
      <c r="C14" s="1" t="s">
        <v>13</v>
      </c>
      <c r="D14" s="1" t="s">
        <v>14</v>
      </c>
      <c r="E14" s="1" t="s">
        <v>15</v>
      </c>
      <c r="F14" s="1" t="s">
        <v>16</v>
      </c>
      <c r="G14" s="1" t="s">
        <v>17</v>
      </c>
      <c r="H14" s="1" t="s">
        <v>18</v>
      </c>
      <c r="I14" s="1" t="s">
        <v>19</v>
      </c>
      <c r="J14" s="1" t="s">
        <v>20</v>
      </c>
      <c r="K14" s="1" t="s">
        <v>21</v>
      </c>
      <c r="N14" t="s">
        <v>98</v>
      </c>
    </row>
    <row r="15" spans="1:14" x14ac:dyDescent="0.3">
      <c r="B15" s="1">
        <v>2066.962</v>
      </c>
      <c r="C15" s="1">
        <v>1867.0809999999999</v>
      </c>
      <c r="D15" s="1">
        <v>2128.944</v>
      </c>
      <c r="E15" s="1">
        <v>1465.5940000000001</v>
      </c>
      <c r="F15" s="1">
        <v>861.56399999999996</v>
      </c>
      <c r="G15" s="1">
        <v>904.74900000000002</v>
      </c>
      <c r="H15" s="1">
        <v>2167.123</v>
      </c>
      <c r="I15" s="1">
        <v>700.14800000000002</v>
      </c>
      <c r="J15" s="1">
        <v>1832.425</v>
      </c>
      <c r="K15" s="1">
        <v>2974.261</v>
      </c>
    </row>
    <row r="16" spans="1:14" x14ac:dyDescent="0.3">
      <c r="B16" s="1">
        <v>1522.6869999999999</v>
      </c>
      <c r="C16" s="1">
        <v>1456.259</v>
      </c>
      <c r="D16" s="1">
        <v>878.46100000000001</v>
      </c>
      <c r="E16" s="1">
        <v>1468.9849999999999</v>
      </c>
      <c r="F16" s="1">
        <v>714.03</v>
      </c>
      <c r="G16" s="1">
        <v>613.60400000000004</v>
      </c>
      <c r="H16" s="1">
        <v>2038.2619999999999</v>
      </c>
      <c r="I16" s="1">
        <v>518.399</v>
      </c>
      <c r="J16" s="1">
        <v>2287.4189999999999</v>
      </c>
      <c r="K16" s="1">
        <v>2023.5609999999999</v>
      </c>
      <c r="N16" t="s">
        <v>94</v>
      </c>
    </row>
    <row r="17" spans="1:14" x14ac:dyDescent="0.3">
      <c r="B17" s="1">
        <v>2015.7570000000001</v>
      </c>
      <c r="C17" s="1">
        <v>1671.13</v>
      </c>
      <c r="D17" s="1">
        <v>529.30499999999995</v>
      </c>
      <c r="E17" s="1">
        <v>1410.682</v>
      </c>
      <c r="F17" s="1">
        <v>491.5</v>
      </c>
      <c r="G17" s="1">
        <v>722.57899999999995</v>
      </c>
      <c r="H17" s="1">
        <v>1500.9480000000001</v>
      </c>
      <c r="I17" s="1">
        <v>432.12700000000001</v>
      </c>
      <c r="J17" s="1">
        <v>2929.4929999999999</v>
      </c>
      <c r="K17" s="1">
        <v>2328.6410000000001</v>
      </c>
      <c r="N17" t="s">
        <v>103</v>
      </c>
    </row>
    <row r="18" spans="1:14" x14ac:dyDescent="0.3">
      <c r="B18" s="1">
        <v>2891.3989999999999</v>
      </c>
      <c r="C18" s="1">
        <v>2005.3710000000001</v>
      </c>
      <c r="D18" s="1">
        <v>512.26599999999996</v>
      </c>
      <c r="E18" s="1">
        <v>1494.5920000000001</v>
      </c>
      <c r="F18" s="1">
        <v>667.85699999999997</v>
      </c>
      <c r="G18" s="1">
        <v>550.67100000000005</v>
      </c>
      <c r="H18" s="1">
        <v>1542.8610000000001</v>
      </c>
      <c r="I18" s="1">
        <v>399.53199999999998</v>
      </c>
      <c r="J18" s="1">
        <v>2066.1680000000001</v>
      </c>
      <c r="K18" s="1">
        <v>2083.712</v>
      </c>
      <c r="N18" t="s">
        <v>96</v>
      </c>
    </row>
    <row r="19" spans="1:14" x14ac:dyDescent="0.3">
      <c r="B19" s="1">
        <v>4053.337</v>
      </c>
      <c r="C19" s="1">
        <v>1799.5070000000001</v>
      </c>
      <c r="D19" s="1">
        <v>710.38099999999997</v>
      </c>
      <c r="E19" s="1">
        <v>1640.133</v>
      </c>
      <c r="F19" s="1">
        <v>537.98900000000003</v>
      </c>
      <c r="G19" s="1">
        <v>582.94100000000003</v>
      </c>
      <c r="H19" s="1">
        <v>1403.175</v>
      </c>
      <c r="I19" s="1">
        <v>427.88900000000001</v>
      </c>
      <c r="J19" s="1">
        <v>2208.1350000000002</v>
      </c>
      <c r="K19" s="1">
        <v>1597.192</v>
      </c>
      <c r="N19" t="s">
        <v>104</v>
      </c>
    </row>
    <row r="20" spans="1:14" x14ac:dyDescent="0.3">
      <c r="B20" s="1">
        <v>3499.9639999999999</v>
      </c>
      <c r="C20" s="1">
        <v>1896.577</v>
      </c>
      <c r="D20" s="1">
        <v>478.26299999999998</v>
      </c>
      <c r="E20" s="1">
        <v>1803.952</v>
      </c>
      <c r="F20" s="1">
        <v>730.59400000000005</v>
      </c>
      <c r="G20" s="1">
        <v>580.37199999999996</v>
      </c>
      <c r="H20" s="1">
        <v>1342.2449999999999</v>
      </c>
      <c r="I20" s="1">
        <v>373.92599999999999</v>
      </c>
      <c r="J20" s="1">
        <v>2218.7330000000002</v>
      </c>
      <c r="K20" s="1">
        <v>1883.9110000000001</v>
      </c>
      <c r="N20" t="s">
        <v>98</v>
      </c>
    </row>
    <row r="21" spans="1:14" x14ac:dyDescent="0.3">
      <c r="B21" s="1">
        <v>2095.4960000000001</v>
      </c>
      <c r="C21" s="1">
        <v>2252.3319999999999</v>
      </c>
      <c r="D21" s="1">
        <v>524.22400000000005</v>
      </c>
      <c r="E21" s="1">
        <v>1367.278</v>
      </c>
      <c r="F21" s="1">
        <v>480.97199999999998</v>
      </c>
      <c r="G21" s="1">
        <v>652.39099999999996</v>
      </c>
      <c r="H21" s="1">
        <v>1685.6389999999999</v>
      </c>
      <c r="I21" s="1">
        <v>792.851</v>
      </c>
      <c r="J21" s="1">
        <v>1780.673</v>
      </c>
      <c r="K21" s="1">
        <v>1187.0139999999999</v>
      </c>
    </row>
    <row r="22" spans="1:14" x14ac:dyDescent="0.3">
      <c r="B22" s="1">
        <v>1796.761</v>
      </c>
      <c r="C22" s="1">
        <v>2196.56</v>
      </c>
      <c r="D22" s="1">
        <v>571.86800000000005</v>
      </c>
      <c r="E22" s="1">
        <v>1603.8019999999999</v>
      </c>
      <c r="F22" s="1">
        <v>675.31299999999999</v>
      </c>
      <c r="G22" s="1">
        <v>430.26299999999998</v>
      </c>
      <c r="H22" s="1">
        <v>1539.806</v>
      </c>
      <c r="I22" s="1">
        <v>521.04200000000003</v>
      </c>
      <c r="J22" s="1">
        <v>2130.864</v>
      </c>
      <c r="K22" s="1">
        <v>1225.9169999999999</v>
      </c>
      <c r="N22" t="s">
        <v>94</v>
      </c>
    </row>
    <row r="23" spans="1:14" x14ac:dyDescent="0.3">
      <c r="B23" s="1">
        <v>2413.9859999999999</v>
      </c>
      <c r="C23" s="1">
        <v>2160.7460000000001</v>
      </c>
      <c r="D23" s="1">
        <v>475.721</v>
      </c>
      <c r="E23" s="1">
        <v>1628.694</v>
      </c>
      <c r="F23" s="1">
        <v>720.50699999999995</v>
      </c>
      <c r="G23" s="1">
        <v>580.24900000000002</v>
      </c>
      <c r="H23" s="1">
        <v>1574.1030000000001</v>
      </c>
      <c r="I23" s="1">
        <v>458.37200000000001</v>
      </c>
      <c r="J23" s="1">
        <v>1990.325</v>
      </c>
      <c r="K23" s="1">
        <v>1957.357</v>
      </c>
      <c r="N23" t="s">
        <v>106</v>
      </c>
    </row>
    <row r="24" spans="1:14" x14ac:dyDescent="0.3">
      <c r="B24" s="1">
        <v>1907.269</v>
      </c>
      <c r="C24" s="1">
        <v>2439.6469999999999</v>
      </c>
      <c r="D24" s="1">
        <v>507.423</v>
      </c>
      <c r="E24" s="1">
        <v>1788.463</v>
      </c>
      <c r="F24" s="1">
        <v>878.97199999999998</v>
      </c>
      <c r="G24" s="1">
        <v>568.03200000000004</v>
      </c>
      <c r="H24" s="1">
        <v>1255.2660000000001</v>
      </c>
      <c r="I24" s="1">
        <v>366.78800000000001</v>
      </c>
      <c r="J24" s="1">
        <v>1911.527</v>
      </c>
      <c r="K24" s="1">
        <v>2717.0929999999998</v>
      </c>
      <c r="N24" t="s">
        <v>96</v>
      </c>
    </row>
    <row r="25" spans="1:14" x14ac:dyDescent="0.3">
      <c r="A25" s="1" t="s">
        <v>22</v>
      </c>
      <c r="B25" s="1">
        <f>AVERAGE(B15:B24)/7</f>
        <v>346.62311428571422</v>
      </c>
      <c r="C25" s="1">
        <f t="shared" ref="C25:K25" si="1">AVERAGE(C15:C24)/7</f>
        <v>282.07442857142854</v>
      </c>
      <c r="D25" s="1">
        <f t="shared" si="1"/>
        <v>104.52651428571428</v>
      </c>
      <c r="E25" s="1">
        <f t="shared" si="1"/>
        <v>223.88821428571424</v>
      </c>
      <c r="F25" s="1">
        <f t="shared" si="1"/>
        <v>96.561400000000006</v>
      </c>
      <c r="G25" s="1">
        <f t="shared" si="1"/>
        <v>88.369299999999996</v>
      </c>
      <c r="H25" s="1">
        <f t="shared" si="1"/>
        <v>229.27754285714286</v>
      </c>
      <c r="I25" s="1">
        <f t="shared" si="1"/>
        <v>71.301057142857147</v>
      </c>
      <c r="J25" s="1">
        <f t="shared" si="1"/>
        <v>305.08231428571435</v>
      </c>
      <c r="K25" s="1">
        <f t="shared" si="1"/>
        <v>285.40941428571426</v>
      </c>
      <c r="L25" s="1">
        <f>AVERAGE(B25:K25)</f>
        <v>203.31133</v>
      </c>
      <c r="M25" s="1">
        <f>_xlfn.STDEV.P(B25:K25)</f>
        <v>98.351077292368046</v>
      </c>
      <c r="N25" t="s">
        <v>107</v>
      </c>
    </row>
    <row r="26" spans="1:14" x14ac:dyDescent="0.3">
      <c r="B26" s="1" t="s">
        <v>23</v>
      </c>
      <c r="C26" s="1" t="s">
        <v>24</v>
      </c>
      <c r="D26" s="1" t="s">
        <v>25</v>
      </c>
      <c r="E26" s="1" t="s">
        <v>26</v>
      </c>
      <c r="F26" s="1" t="s">
        <v>27</v>
      </c>
      <c r="G26" s="1" t="s">
        <v>28</v>
      </c>
      <c r="H26" s="1" t="s">
        <v>29</v>
      </c>
      <c r="I26" s="1" t="s">
        <v>30</v>
      </c>
      <c r="J26" s="1" t="s">
        <v>31</v>
      </c>
      <c r="K26" s="1" t="s">
        <v>32</v>
      </c>
      <c r="N26" t="s">
        <v>98</v>
      </c>
    </row>
    <row r="27" spans="1:14" x14ac:dyDescent="0.3">
      <c r="B27" s="1">
        <v>28009.375</v>
      </c>
      <c r="C27" s="1">
        <v>17847.850999999999</v>
      </c>
      <c r="D27" s="1">
        <v>18942.262999999999</v>
      </c>
      <c r="E27" s="1">
        <v>9774.3510000000006</v>
      </c>
      <c r="F27" s="1">
        <v>12692.73</v>
      </c>
      <c r="G27" s="1">
        <v>12256.049000000001</v>
      </c>
      <c r="H27" s="1">
        <v>14879.898999999999</v>
      </c>
      <c r="I27" s="1">
        <v>16178.92</v>
      </c>
      <c r="J27" s="1">
        <v>12490.643</v>
      </c>
      <c r="K27" s="1">
        <v>16266.272000000001</v>
      </c>
    </row>
    <row r="28" spans="1:14" x14ac:dyDescent="0.3">
      <c r="B28" s="1">
        <v>31178.458999999999</v>
      </c>
      <c r="C28" s="1">
        <v>22739.534</v>
      </c>
      <c r="D28" s="1">
        <v>20650.062999999998</v>
      </c>
      <c r="E28" s="1">
        <v>9355.2260000000006</v>
      </c>
      <c r="F28" s="1">
        <v>12589.258</v>
      </c>
      <c r="G28" s="1">
        <v>10867.281999999999</v>
      </c>
      <c r="H28" s="1">
        <v>14303.376</v>
      </c>
      <c r="I28" s="1">
        <v>18280.929</v>
      </c>
      <c r="J28" s="1">
        <v>11316.811</v>
      </c>
      <c r="K28" s="1">
        <v>15506.762000000001</v>
      </c>
      <c r="N28" t="s">
        <v>96</v>
      </c>
    </row>
    <row r="29" spans="1:14" x14ac:dyDescent="0.3">
      <c r="B29" s="1">
        <v>32653.579000000002</v>
      </c>
      <c r="C29" s="1">
        <v>19231.368999999999</v>
      </c>
      <c r="D29" s="1">
        <v>20378.273000000001</v>
      </c>
      <c r="E29" s="1">
        <v>8322.1080000000002</v>
      </c>
      <c r="F29" s="1">
        <v>17660.571</v>
      </c>
      <c r="G29" s="1">
        <v>11663.777</v>
      </c>
      <c r="H29" s="1">
        <v>18974.578000000001</v>
      </c>
      <c r="I29" s="1">
        <v>15751.32</v>
      </c>
      <c r="J29" s="1">
        <v>11767.406999999999</v>
      </c>
      <c r="K29" s="1">
        <v>16559.821</v>
      </c>
      <c r="N29" t="s">
        <v>109</v>
      </c>
    </row>
    <row r="30" spans="1:14" x14ac:dyDescent="0.3">
      <c r="B30" s="1">
        <v>29682.409</v>
      </c>
      <c r="C30" s="1">
        <v>17285.243999999999</v>
      </c>
      <c r="D30" s="1">
        <v>20278.953000000001</v>
      </c>
      <c r="E30" s="1">
        <v>8790.6049999999996</v>
      </c>
      <c r="F30" s="1">
        <v>13198.436</v>
      </c>
      <c r="G30" s="1">
        <v>14835.828</v>
      </c>
      <c r="H30" s="1">
        <v>16003.322</v>
      </c>
      <c r="I30" s="1">
        <v>16166.874</v>
      </c>
      <c r="J30" s="1">
        <v>13031.895</v>
      </c>
      <c r="K30" s="1">
        <v>13943.608</v>
      </c>
      <c r="N30" t="s">
        <v>94</v>
      </c>
    </row>
    <row r="31" spans="1:14" x14ac:dyDescent="0.3">
      <c r="B31" s="1">
        <v>34016.531000000003</v>
      </c>
      <c r="C31" s="1">
        <v>20748.43</v>
      </c>
      <c r="D31" s="1">
        <v>21772.454000000002</v>
      </c>
      <c r="E31" s="1">
        <v>7041.625</v>
      </c>
      <c r="F31" s="1">
        <v>13508.12</v>
      </c>
      <c r="G31" s="1">
        <v>12928.285</v>
      </c>
      <c r="H31" s="1">
        <v>17321.471000000001</v>
      </c>
      <c r="I31" s="1">
        <v>22917.71</v>
      </c>
      <c r="J31" s="1">
        <v>11534.276</v>
      </c>
      <c r="K31" s="1">
        <v>17352.584999999999</v>
      </c>
      <c r="N31" t="s">
        <v>110</v>
      </c>
    </row>
    <row r="32" spans="1:14" x14ac:dyDescent="0.3">
      <c r="B32" s="1">
        <v>34277.591999999997</v>
      </c>
      <c r="C32" s="1">
        <v>19990.856</v>
      </c>
      <c r="D32" s="1">
        <v>23359.328000000001</v>
      </c>
      <c r="E32" s="1">
        <v>8370.3819999999996</v>
      </c>
      <c r="F32" s="1">
        <v>15516.111000000001</v>
      </c>
      <c r="G32" s="1">
        <v>12151.022000000001</v>
      </c>
      <c r="H32" s="1">
        <v>18212.663</v>
      </c>
      <c r="I32" s="1">
        <v>17513.728999999999</v>
      </c>
      <c r="J32" s="1">
        <v>13753.433000000001</v>
      </c>
      <c r="K32" s="1">
        <v>18992.382000000001</v>
      </c>
      <c r="N32" t="s">
        <v>98</v>
      </c>
    </row>
    <row r="33" spans="1:14" x14ac:dyDescent="0.3">
      <c r="B33" s="1">
        <v>33853.436000000002</v>
      </c>
      <c r="C33" s="1">
        <v>24385.514999999999</v>
      </c>
      <c r="D33" s="1">
        <v>21994.06</v>
      </c>
      <c r="E33" s="1">
        <v>8201.4519999999993</v>
      </c>
      <c r="F33" s="1">
        <v>15115.77</v>
      </c>
      <c r="G33" s="1">
        <v>11459.449000000001</v>
      </c>
      <c r="H33" s="1">
        <v>15975.087</v>
      </c>
      <c r="I33" s="1">
        <v>23212.132000000001</v>
      </c>
      <c r="J33" s="1">
        <v>11393.069</v>
      </c>
      <c r="K33" s="1">
        <v>16588.786</v>
      </c>
    </row>
    <row r="34" spans="1:14" x14ac:dyDescent="0.3">
      <c r="B34" s="1">
        <v>33220.33</v>
      </c>
      <c r="C34" s="1">
        <v>19585.946</v>
      </c>
      <c r="D34" s="1">
        <v>20695.833999999999</v>
      </c>
      <c r="E34" s="1">
        <v>11087.504000000001</v>
      </c>
      <c r="F34" s="1">
        <v>12640.404</v>
      </c>
      <c r="G34" s="1">
        <v>13341.878000000001</v>
      </c>
      <c r="H34" s="1">
        <v>20170.14</v>
      </c>
      <c r="I34" s="1">
        <v>17561.647000000001</v>
      </c>
      <c r="J34" s="1">
        <v>11898.812</v>
      </c>
      <c r="K34" s="1">
        <v>19333.052</v>
      </c>
      <c r="N34" t="s">
        <v>94</v>
      </c>
    </row>
    <row r="35" spans="1:14" x14ac:dyDescent="0.3">
      <c r="B35" s="1">
        <v>33120.796000000002</v>
      </c>
      <c r="C35" s="1">
        <v>21265.383999999998</v>
      </c>
      <c r="D35" s="1">
        <v>20783.745999999999</v>
      </c>
      <c r="E35" s="1">
        <v>8871.5360000000001</v>
      </c>
      <c r="F35" s="1">
        <v>14111.616</v>
      </c>
      <c r="G35" s="1">
        <v>12956.517</v>
      </c>
      <c r="H35" s="1">
        <v>19139.378000000001</v>
      </c>
      <c r="I35" s="1">
        <v>22536.915000000001</v>
      </c>
      <c r="J35" s="1">
        <v>12005.348</v>
      </c>
      <c r="K35" s="1">
        <v>17261.307000000001</v>
      </c>
      <c r="N35" t="s">
        <v>112</v>
      </c>
    </row>
    <row r="36" spans="1:14" x14ac:dyDescent="0.3">
      <c r="B36" s="1">
        <v>38367.358999999997</v>
      </c>
      <c r="C36" s="1">
        <v>20324.921999999999</v>
      </c>
      <c r="D36" s="1">
        <v>23434.415000000001</v>
      </c>
      <c r="E36" s="1">
        <v>8051.4319999999998</v>
      </c>
      <c r="F36" s="1">
        <v>17102.226999999999</v>
      </c>
      <c r="G36" s="1">
        <v>16152.439</v>
      </c>
      <c r="H36" s="1">
        <v>17989.294999999998</v>
      </c>
      <c r="I36" s="1">
        <v>16399.429</v>
      </c>
      <c r="J36" s="1">
        <v>16175.584999999999</v>
      </c>
      <c r="K36" s="1">
        <v>16392.609</v>
      </c>
      <c r="N36" t="s">
        <v>96</v>
      </c>
    </row>
    <row r="37" spans="1:14" x14ac:dyDescent="0.3">
      <c r="A37" s="1" t="s">
        <v>34</v>
      </c>
      <c r="B37" s="1">
        <f>AVERAGE(B27:B36)/10</f>
        <v>3283.7986599999995</v>
      </c>
      <c r="C37" s="1">
        <f t="shared" ref="C37:K37" si="2">AVERAGE(C27:C36)/10</f>
        <v>2034.0505099999998</v>
      </c>
      <c r="D37" s="1">
        <f t="shared" si="2"/>
        <v>2122.8938900000003</v>
      </c>
      <c r="E37" s="1">
        <f t="shared" si="2"/>
        <v>878.66220999999985</v>
      </c>
      <c r="F37" s="1">
        <f t="shared" si="2"/>
        <v>1441.3524299999999</v>
      </c>
      <c r="G37" s="1">
        <f t="shared" si="2"/>
        <v>1286.12526</v>
      </c>
      <c r="H37" s="1">
        <f t="shared" si="2"/>
        <v>1729.6920900000005</v>
      </c>
      <c r="I37" s="1">
        <f t="shared" si="2"/>
        <v>1865.19605</v>
      </c>
      <c r="J37" s="1">
        <f t="shared" si="2"/>
        <v>1253.6727900000001</v>
      </c>
      <c r="K37" s="1">
        <f t="shared" si="2"/>
        <v>1681.9718399999997</v>
      </c>
      <c r="L37" s="1">
        <f>AVERAGE(B37:K37)</f>
        <v>1757.741573</v>
      </c>
      <c r="M37" s="1">
        <f>_xlfn.STDEV.P(B37:K37)</f>
        <v>624.97978107822291</v>
      </c>
      <c r="N37" t="s">
        <v>113</v>
      </c>
    </row>
    <row r="38" spans="1:14" x14ac:dyDescent="0.3">
      <c r="B38" s="1" t="s">
        <v>35</v>
      </c>
      <c r="C38" s="1" t="s">
        <v>36</v>
      </c>
      <c r="D38" s="1" t="s">
        <v>37</v>
      </c>
      <c r="E38" s="1" t="s">
        <v>38</v>
      </c>
      <c r="F38" s="1" t="s">
        <v>39</v>
      </c>
      <c r="G38" s="1" t="s">
        <v>40</v>
      </c>
      <c r="H38" s="1" t="s">
        <v>41</v>
      </c>
      <c r="I38" s="1" t="s">
        <v>42</v>
      </c>
      <c r="J38" s="1" t="s">
        <v>43</v>
      </c>
      <c r="K38" s="1" t="s">
        <v>44</v>
      </c>
      <c r="N38" t="s">
        <v>98</v>
      </c>
    </row>
    <row r="39" spans="1:14" x14ac:dyDescent="0.3">
      <c r="B39" s="1">
        <v>1091636.585</v>
      </c>
      <c r="C39" s="1">
        <v>1880689.371</v>
      </c>
      <c r="D39" s="1">
        <v>1218953.2250000001</v>
      </c>
      <c r="E39" s="1">
        <v>1348881.416</v>
      </c>
      <c r="F39" s="1">
        <v>17603.608</v>
      </c>
      <c r="G39" s="1">
        <v>440778.47100000002</v>
      </c>
      <c r="H39" s="1">
        <v>458705.63199999998</v>
      </c>
      <c r="I39" s="1">
        <v>144151.37400000001</v>
      </c>
      <c r="J39" s="1">
        <v>1630470.3760000002</v>
      </c>
      <c r="K39" s="1">
        <v>401751.48800000001</v>
      </c>
    </row>
    <row r="40" spans="1:14" x14ac:dyDescent="0.3">
      <c r="B40" s="1">
        <v>1044754.448</v>
      </c>
      <c r="C40" s="1">
        <v>1783745.2549999999</v>
      </c>
      <c r="D40" s="1">
        <v>1232124.69</v>
      </c>
      <c r="E40" s="1">
        <v>1211746.5560000001</v>
      </c>
      <c r="F40" s="1">
        <v>11490.907999999999</v>
      </c>
      <c r="G40" s="1">
        <v>413217.12400000001</v>
      </c>
      <c r="H40" s="1">
        <v>454731.59</v>
      </c>
      <c r="I40" s="1">
        <v>150536.68</v>
      </c>
      <c r="J40" s="1">
        <v>1589585.226</v>
      </c>
      <c r="K40" s="1">
        <v>455549.17800000001</v>
      </c>
      <c r="N40" t="s">
        <v>94</v>
      </c>
    </row>
    <row r="41" spans="1:14" x14ac:dyDescent="0.3">
      <c r="B41" s="1">
        <v>1004652.028</v>
      </c>
      <c r="C41" s="1">
        <v>1879394.5010000002</v>
      </c>
      <c r="D41" s="1">
        <v>1251119.8700000001</v>
      </c>
      <c r="E41" s="1">
        <v>1172397.493</v>
      </c>
      <c r="F41" s="1">
        <v>12733.901</v>
      </c>
      <c r="G41" s="1">
        <v>442688.24099999998</v>
      </c>
      <c r="H41" s="1">
        <v>428408.78700000001</v>
      </c>
      <c r="I41" s="1">
        <v>115113.704</v>
      </c>
      <c r="J41" s="1">
        <v>1702721.085</v>
      </c>
      <c r="K41" s="1">
        <v>418578.95</v>
      </c>
      <c r="N41" t="s">
        <v>115</v>
      </c>
    </row>
    <row r="42" spans="1:14" x14ac:dyDescent="0.3">
      <c r="B42" s="1">
        <v>1000899.532</v>
      </c>
      <c r="C42" s="1">
        <v>1798721.298</v>
      </c>
      <c r="D42" s="1">
        <v>1234504.2620000001</v>
      </c>
      <c r="E42" s="1">
        <v>1177944.889</v>
      </c>
      <c r="F42" s="1">
        <v>16319.286</v>
      </c>
      <c r="G42" s="1">
        <v>464151.20799999998</v>
      </c>
      <c r="H42" s="1">
        <v>421628.91200000001</v>
      </c>
      <c r="I42" s="1">
        <v>137154.1</v>
      </c>
      <c r="J42" s="1">
        <v>1593354.4240000001</v>
      </c>
      <c r="K42" s="1">
        <v>437203.93900000001</v>
      </c>
      <c r="N42" t="s">
        <v>96</v>
      </c>
    </row>
    <row r="43" spans="1:14" x14ac:dyDescent="0.3">
      <c r="B43" s="1">
        <v>1015247.001</v>
      </c>
      <c r="C43" s="1">
        <v>1721658.4169999999</v>
      </c>
      <c r="D43" s="1">
        <v>1230897.4669999999</v>
      </c>
      <c r="E43" s="1">
        <v>1152260.7349999999</v>
      </c>
      <c r="F43" s="1">
        <v>17389.095000000001</v>
      </c>
      <c r="G43" s="1">
        <v>445438.36300000001</v>
      </c>
      <c r="H43" s="1">
        <v>462174.62400000001</v>
      </c>
      <c r="I43" s="1">
        <v>155242.92300000001</v>
      </c>
      <c r="J43" s="1">
        <v>1378534.959</v>
      </c>
      <c r="K43" s="1">
        <v>407528.00199999998</v>
      </c>
      <c r="N43" t="s">
        <v>116</v>
      </c>
    </row>
    <row r="44" spans="1:14" x14ac:dyDescent="0.3">
      <c r="B44" s="1">
        <v>1011508.2290000001</v>
      </c>
      <c r="C44" s="1">
        <v>1857041.2250000001</v>
      </c>
      <c r="D44" s="1">
        <v>1246807.645</v>
      </c>
      <c r="E44" s="1">
        <v>1132647.0049999999</v>
      </c>
      <c r="F44" s="1">
        <v>14790.781000000001</v>
      </c>
      <c r="G44" s="1">
        <v>494057.62599999999</v>
      </c>
      <c r="H44" s="1">
        <v>469020.777</v>
      </c>
      <c r="I44" s="1">
        <v>156795.12100000001</v>
      </c>
      <c r="J44" s="1">
        <v>1409379.567</v>
      </c>
      <c r="K44" s="1">
        <v>409954.70699999999</v>
      </c>
      <c r="N44" t="s">
        <v>98</v>
      </c>
    </row>
    <row r="45" spans="1:14" x14ac:dyDescent="0.3">
      <c r="B45" s="1">
        <v>1005444.4350000001</v>
      </c>
      <c r="C45" s="1">
        <v>1790868.544</v>
      </c>
      <c r="D45" s="1">
        <v>1227359.0630000001</v>
      </c>
      <c r="E45" s="1">
        <v>1171730.774</v>
      </c>
      <c r="F45" s="1">
        <v>12035.332</v>
      </c>
      <c r="G45" s="1">
        <v>469879.35100000002</v>
      </c>
      <c r="H45" s="1">
        <v>462718.24699999997</v>
      </c>
      <c r="I45" s="1">
        <v>128910.875</v>
      </c>
      <c r="J45" s="1">
        <v>1380405.4790000001</v>
      </c>
      <c r="K45" s="1">
        <v>397478.45799999998</v>
      </c>
    </row>
    <row r="46" spans="1:14" x14ac:dyDescent="0.3">
      <c r="B46" s="1">
        <v>998165.29399999999</v>
      </c>
      <c r="C46" s="1">
        <v>1770497.801</v>
      </c>
      <c r="D46" s="1">
        <v>1212364.0929999999</v>
      </c>
      <c r="E46" s="1">
        <v>1207948.4480000001</v>
      </c>
      <c r="F46" s="1">
        <v>18371.505000000001</v>
      </c>
      <c r="G46" s="1">
        <v>451754.72</v>
      </c>
      <c r="H46" s="1">
        <v>414560.85100000002</v>
      </c>
      <c r="I46" s="1">
        <v>132397.79999999999</v>
      </c>
      <c r="J46" s="1">
        <v>1528986.693</v>
      </c>
      <c r="K46" s="1">
        <v>442451.06199999998</v>
      </c>
      <c r="N46" t="s">
        <v>96</v>
      </c>
    </row>
    <row r="47" spans="1:14" x14ac:dyDescent="0.3">
      <c r="B47" s="1">
        <v>980659.07499999995</v>
      </c>
      <c r="C47" s="1">
        <v>1751190.5330000001</v>
      </c>
      <c r="D47" s="1">
        <v>1234578.6580000001</v>
      </c>
      <c r="E47" s="1">
        <v>1178649.0759999999</v>
      </c>
      <c r="F47" s="1">
        <v>14312.254000000001</v>
      </c>
      <c r="G47" s="1">
        <v>425573.158</v>
      </c>
      <c r="H47" s="1">
        <v>452976.49400000001</v>
      </c>
      <c r="I47" s="1">
        <v>145798.16200000001</v>
      </c>
      <c r="J47" s="1">
        <v>1514120.7069999999</v>
      </c>
      <c r="K47" s="1">
        <v>405536.60600000003</v>
      </c>
      <c r="N47" t="s">
        <v>118</v>
      </c>
    </row>
    <row r="48" spans="1:14" x14ac:dyDescent="0.3">
      <c r="B48" s="1">
        <v>1008826.652</v>
      </c>
      <c r="C48" s="1">
        <v>1788700.7859999998</v>
      </c>
      <c r="D48" s="1">
        <v>1227422.767</v>
      </c>
      <c r="E48" s="1">
        <v>1170899.0860000001</v>
      </c>
      <c r="F48" s="1">
        <v>12131.659</v>
      </c>
      <c r="G48" s="1">
        <v>408237.57199999999</v>
      </c>
      <c r="H48" s="1">
        <v>466829.61800000002</v>
      </c>
      <c r="I48" s="1">
        <v>137611.49900000001</v>
      </c>
      <c r="J48" s="1">
        <v>1703700.537</v>
      </c>
      <c r="K48" s="1">
        <v>471185.34899999999</v>
      </c>
      <c r="N48" t="s">
        <v>94</v>
      </c>
    </row>
    <row r="49" spans="1:14" x14ac:dyDescent="0.3">
      <c r="A49" s="1" t="s">
        <v>45</v>
      </c>
      <c r="B49" s="1">
        <f>AVERAGE(B39:B48)/13</f>
        <v>78167.640607692301</v>
      </c>
      <c r="C49" s="1">
        <f t="shared" ref="C49:K49" si="3">AVERAGE(C39:C48)/13</f>
        <v>138634.67485384614</v>
      </c>
      <c r="D49" s="1">
        <f t="shared" si="3"/>
        <v>94739.474923076908</v>
      </c>
      <c r="E49" s="1">
        <f t="shared" si="3"/>
        <v>91731.580600000001</v>
      </c>
      <c r="F49" s="1">
        <f t="shared" si="3"/>
        <v>1132.1409923076926</v>
      </c>
      <c r="G49" s="1">
        <f t="shared" si="3"/>
        <v>34275.198723076915</v>
      </c>
      <c r="H49" s="1">
        <f t="shared" si="3"/>
        <v>34551.965630769228</v>
      </c>
      <c r="I49" s="1">
        <f t="shared" si="3"/>
        <v>10797.786446153847</v>
      </c>
      <c r="J49" s="1">
        <f t="shared" si="3"/>
        <v>118701.99271538464</v>
      </c>
      <c r="K49" s="1">
        <f t="shared" si="3"/>
        <v>32670.905684615387</v>
      </c>
      <c r="L49" s="1">
        <f>AVERAGE(B49:K49)</f>
        <v>63540.336117692306</v>
      </c>
      <c r="M49" s="1">
        <f>_xlfn.STDEV.P(B49:K49)</f>
        <v>44710.528540000756</v>
      </c>
      <c r="N49" t="s">
        <v>119</v>
      </c>
    </row>
    <row r="50" spans="1:14" x14ac:dyDescent="0.3">
      <c r="B50" s="1" t="s">
        <v>48</v>
      </c>
      <c r="C50" s="1" t="s">
        <v>49</v>
      </c>
      <c r="D50" s="1" t="s">
        <v>50</v>
      </c>
      <c r="E50" s="1" t="s">
        <v>51</v>
      </c>
      <c r="F50" s="1" t="s">
        <v>52</v>
      </c>
      <c r="G50" s="1" t="s">
        <v>53</v>
      </c>
      <c r="H50" s="1" t="s">
        <v>54</v>
      </c>
      <c r="I50" s="1" t="s">
        <v>55</v>
      </c>
      <c r="J50" s="1" t="s">
        <v>56</v>
      </c>
      <c r="K50" s="1" t="s">
        <v>57</v>
      </c>
      <c r="N50" t="s">
        <v>98</v>
      </c>
    </row>
    <row r="51" spans="1:14" x14ac:dyDescent="0.3">
      <c r="B51" s="1">
        <v>106562.41800000001</v>
      </c>
      <c r="C51" s="1">
        <v>351224.38199999998</v>
      </c>
      <c r="D51" s="1">
        <v>122437.493</v>
      </c>
      <c r="E51" s="1">
        <v>1260614.3429999999</v>
      </c>
      <c r="F51" s="1">
        <v>1679043.9569999999</v>
      </c>
      <c r="G51" s="1">
        <v>1728736.0350000001</v>
      </c>
      <c r="H51" s="1">
        <v>126658.034</v>
      </c>
      <c r="I51" s="1">
        <v>4580038.6330000004</v>
      </c>
      <c r="J51" s="1">
        <v>1183210.6680000001</v>
      </c>
      <c r="K51" s="1">
        <v>1197399.8060000001</v>
      </c>
    </row>
    <row r="52" spans="1:14" x14ac:dyDescent="0.3">
      <c r="B52" s="1">
        <v>110002.852</v>
      </c>
      <c r="C52" s="1">
        <v>353848.67300000001</v>
      </c>
      <c r="D52" s="1">
        <v>136387.31599999999</v>
      </c>
      <c r="E52" s="1">
        <v>1347680.0430000001</v>
      </c>
      <c r="F52" s="1">
        <v>1648159.689</v>
      </c>
      <c r="G52" s="1">
        <v>1695285.5789999999</v>
      </c>
      <c r="H52" s="1">
        <v>117963.103</v>
      </c>
      <c r="I52" s="1">
        <v>4612503.6809999999</v>
      </c>
      <c r="J52" s="1">
        <v>1287047.7339999999</v>
      </c>
      <c r="K52" s="1">
        <v>1222006.1510000001</v>
      </c>
      <c r="N52" t="s">
        <v>96</v>
      </c>
    </row>
    <row r="53" spans="1:14" x14ac:dyDescent="0.3">
      <c r="B53" s="1">
        <v>114923.818</v>
      </c>
      <c r="C53" s="1">
        <v>368622.728</v>
      </c>
      <c r="D53" s="1">
        <v>132232.35399999999</v>
      </c>
      <c r="E53" s="1">
        <v>1525023.0430000001</v>
      </c>
      <c r="F53" s="1">
        <v>1683631.757</v>
      </c>
      <c r="G53" s="1">
        <v>1755271.6140000001</v>
      </c>
      <c r="H53" s="1">
        <v>114475.539</v>
      </c>
      <c r="I53" s="1">
        <v>4552942.1150000002</v>
      </c>
      <c r="J53" s="1">
        <v>1376108.1070000001</v>
      </c>
      <c r="K53" s="1">
        <v>1279674.3419999999</v>
      </c>
      <c r="N53" t="s">
        <v>121</v>
      </c>
    </row>
    <row r="54" spans="1:14" x14ac:dyDescent="0.3">
      <c r="B54" s="1">
        <v>126261.80499999999</v>
      </c>
      <c r="C54" s="1">
        <v>381144.26799999998</v>
      </c>
      <c r="D54" s="1">
        <v>131233.64300000001</v>
      </c>
      <c r="E54" s="1">
        <v>1614216.5870000001</v>
      </c>
      <c r="F54" s="1">
        <v>1671513.2990000001</v>
      </c>
      <c r="G54" s="1">
        <v>2053115.56</v>
      </c>
      <c r="H54" s="1">
        <v>127581.55499999999</v>
      </c>
      <c r="I54" s="1">
        <v>4531540.0710000005</v>
      </c>
      <c r="J54" s="1">
        <v>1216779.335</v>
      </c>
      <c r="K54" s="1">
        <v>1274789.0260000001</v>
      </c>
      <c r="N54" t="s">
        <v>94</v>
      </c>
    </row>
    <row r="55" spans="1:14" x14ac:dyDescent="0.3">
      <c r="B55" s="1">
        <v>115296.567</v>
      </c>
      <c r="C55" s="1">
        <v>365023.462</v>
      </c>
      <c r="D55" s="1">
        <v>140254.391</v>
      </c>
      <c r="E55" s="1">
        <v>1394208.8570000001</v>
      </c>
      <c r="F55" s="1">
        <v>1658798.3659999999</v>
      </c>
      <c r="G55" s="1">
        <v>2313823.0660000001</v>
      </c>
      <c r="H55" s="1">
        <v>122390.311</v>
      </c>
      <c r="I55" s="1">
        <v>4485118.3930000002</v>
      </c>
      <c r="J55" s="1">
        <v>1384786.0989999999</v>
      </c>
      <c r="K55" s="1">
        <v>1309801.885</v>
      </c>
      <c r="N55" t="s">
        <v>122</v>
      </c>
    </row>
    <row r="56" spans="1:14" x14ac:dyDescent="0.3">
      <c r="B56" s="1">
        <v>114076.34299999999</v>
      </c>
      <c r="C56" s="1">
        <v>349048.41800000001</v>
      </c>
      <c r="D56" s="1">
        <v>146875.72</v>
      </c>
      <c r="E56" s="1">
        <v>1312473.899</v>
      </c>
      <c r="F56" s="1">
        <v>1647947.179</v>
      </c>
      <c r="G56" s="1">
        <v>2141650.8229999999</v>
      </c>
      <c r="H56" s="1">
        <v>120172.391</v>
      </c>
      <c r="I56" s="1">
        <v>4673062.7419999996</v>
      </c>
      <c r="J56" s="1">
        <v>1356986.2120000001</v>
      </c>
      <c r="K56" s="1">
        <v>1266241.416</v>
      </c>
      <c r="N56" t="s">
        <v>98</v>
      </c>
    </row>
    <row r="57" spans="1:14" x14ac:dyDescent="0.3">
      <c r="B57" s="1">
        <v>104516.06</v>
      </c>
      <c r="C57" s="1">
        <v>355631.23200000002</v>
      </c>
      <c r="D57" s="1">
        <v>150413.20699999999</v>
      </c>
      <c r="E57" s="1">
        <v>1396478.341</v>
      </c>
      <c r="F57" s="1">
        <v>1653615.6869999999</v>
      </c>
      <c r="G57" s="1">
        <v>2053305.5759999999</v>
      </c>
      <c r="H57" s="1">
        <v>124192.754</v>
      </c>
      <c r="I57" s="1">
        <v>4573577.1660000002</v>
      </c>
      <c r="J57" s="1">
        <v>1267302.777</v>
      </c>
      <c r="K57" s="1">
        <v>1208295.095</v>
      </c>
    </row>
    <row r="58" spans="1:14" x14ac:dyDescent="0.3">
      <c r="B58" s="1">
        <v>104304.133</v>
      </c>
      <c r="C58" s="1">
        <v>367187.80800000002</v>
      </c>
      <c r="D58" s="1">
        <v>149809.37100000001</v>
      </c>
      <c r="E58" s="1">
        <v>1259732.1939999999</v>
      </c>
      <c r="F58" s="1">
        <v>1680981.8969999999</v>
      </c>
      <c r="G58" s="1">
        <v>1974272.6880000001</v>
      </c>
      <c r="H58" s="1">
        <v>132408.15700000001</v>
      </c>
      <c r="I58" s="1">
        <v>4470272.8360000001</v>
      </c>
      <c r="J58" s="1">
        <v>1240372.1189999999</v>
      </c>
      <c r="K58" s="1">
        <v>1261247.8189999999</v>
      </c>
      <c r="N58" t="s">
        <v>96</v>
      </c>
    </row>
    <row r="59" spans="1:14" x14ac:dyDescent="0.3">
      <c r="B59" s="1">
        <v>120584.962</v>
      </c>
      <c r="C59" s="1">
        <v>347939.17499999999</v>
      </c>
      <c r="D59" s="1">
        <v>152804.092</v>
      </c>
      <c r="E59" s="1">
        <v>1300345.4270000001</v>
      </c>
      <c r="F59" s="1">
        <v>1669713.0379999999</v>
      </c>
      <c r="G59" s="1">
        <v>1881932.2960000001</v>
      </c>
      <c r="H59" s="1">
        <v>133447.625</v>
      </c>
      <c r="I59" s="1">
        <v>4459516.3550000004</v>
      </c>
      <c r="J59" s="1">
        <v>1257490.3599999999</v>
      </c>
      <c r="K59" s="1">
        <v>1339331.318</v>
      </c>
      <c r="N59" t="s">
        <v>124</v>
      </c>
    </row>
    <row r="60" spans="1:14" x14ac:dyDescent="0.3">
      <c r="B60" s="1">
        <v>119240.66499999999</v>
      </c>
      <c r="C60" s="1">
        <v>368109.81199999998</v>
      </c>
      <c r="D60" s="1">
        <v>161912.302</v>
      </c>
      <c r="E60" s="1">
        <v>1299513.81</v>
      </c>
      <c r="F60" s="1">
        <v>1735302.844</v>
      </c>
      <c r="G60" s="1">
        <v>1828807.469</v>
      </c>
      <c r="H60" s="1">
        <v>121697.508</v>
      </c>
      <c r="I60" s="1">
        <v>4401681.4170000004</v>
      </c>
      <c r="J60" s="1">
        <v>1288127.7110000001</v>
      </c>
      <c r="K60" s="1">
        <v>1349112.4790000001</v>
      </c>
      <c r="N60" t="s">
        <v>94</v>
      </c>
    </row>
    <row r="61" spans="1:14" x14ac:dyDescent="0.3">
      <c r="A61" s="1" t="s">
        <v>46</v>
      </c>
      <c r="B61" s="1">
        <f>AVERAGE(B51:B60)/15</f>
        <v>7571.7974866666655</v>
      </c>
      <c r="C61" s="1">
        <f t="shared" ref="C61:K61" si="4">AVERAGE(C51:C60)/15</f>
        <v>24051.866386666665</v>
      </c>
      <c r="D61" s="1">
        <f t="shared" si="4"/>
        <v>9495.7325933333304</v>
      </c>
      <c r="E61" s="1">
        <f t="shared" si="4"/>
        <v>91401.910293333334</v>
      </c>
      <c r="F61" s="1">
        <f t="shared" si="4"/>
        <v>111524.71808666667</v>
      </c>
      <c r="G61" s="1">
        <f t="shared" si="4"/>
        <v>129508.00470666666</v>
      </c>
      <c r="H61" s="1">
        <f t="shared" si="4"/>
        <v>8273.2465133333335</v>
      </c>
      <c r="I61" s="1">
        <f t="shared" si="4"/>
        <v>302268.35606000002</v>
      </c>
      <c r="J61" s="1">
        <f t="shared" si="4"/>
        <v>85721.407479999994</v>
      </c>
      <c r="K61" s="1">
        <f t="shared" si="4"/>
        <v>84719.328913333346</v>
      </c>
      <c r="L61" s="1">
        <f>AVERAGE(B61:K61)</f>
        <v>85453.636851999996</v>
      </c>
      <c r="M61" s="1">
        <f>_xlfn.STDEV.P(B61:K61)</f>
        <v>84396.254731271387</v>
      </c>
      <c r="N61" t="s">
        <v>125</v>
      </c>
    </row>
    <row r="62" spans="1:14" x14ac:dyDescent="0.3">
      <c r="B62" s="1" t="s">
        <v>58</v>
      </c>
      <c r="C62" s="1" t="s">
        <v>59</v>
      </c>
      <c r="D62" s="1" t="s">
        <v>60</v>
      </c>
      <c r="E62" s="1" t="s">
        <v>61</v>
      </c>
      <c r="F62" s="1" t="s">
        <v>62</v>
      </c>
      <c r="G62" s="1" t="s">
        <v>63</v>
      </c>
      <c r="H62" s="1" t="s">
        <v>64</v>
      </c>
      <c r="I62" s="1" t="s">
        <v>65</v>
      </c>
      <c r="J62" s="1" t="s">
        <v>66</v>
      </c>
      <c r="K62" s="1" t="s">
        <v>67</v>
      </c>
      <c r="N62" t="s">
        <v>98</v>
      </c>
    </row>
    <row r="63" spans="1:14" x14ac:dyDescent="0.3">
      <c r="B63" s="1">
        <v>42437767.236000001</v>
      </c>
      <c r="C63" s="1">
        <v>1662652.4620000001</v>
      </c>
      <c r="D63" s="1">
        <v>49517468.195</v>
      </c>
      <c r="E63" s="1">
        <v>16825791.697000001</v>
      </c>
      <c r="F63" s="1">
        <v>37759204.211999997</v>
      </c>
      <c r="G63" s="1">
        <v>1073944.9269999999</v>
      </c>
      <c r="H63" s="1">
        <v>19707956.199999999</v>
      </c>
      <c r="I63" s="1">
        <v>34483439.024999999</v>
      </c>
      <c r="J63" s="1">
        <v>17289110.191</v>
      </c>
      <c r="K63" s="1">
        <v>24432.286</v>
      </c>
    </row>
    <row r="64" spans="1:14" x14ac:dyDescent="0.3">
      <c r="B64" s="1">
        <v>49509102.027999997</v>
      </c>
      <c r="C64" s="1">
        <v>1615082.798</v>
      </c>
      <c r="D64" s="1">
        <v>48998628.787</v>
      </c>
      <c r="E64" s="1">
        <v>16637799.651000001</v>
      </c>
      <c r="F64" s="1">
        <v>36733420.983000003</v>
      </c>
      <c r="G64" s="1">
        <v>1058153.165</v>
      </c>
      <c r="H64" s="1">
        <v>20809391.677999999</v>
      </c>
      <c r="I64" s="1">
        <v>32840739.675999999</v>
      </c>
      <c r="J64" s="1">
        <v>18559507.181000002</v>
      </c>
      <c r="K64" s="1">
        <v>17433.609</v>
      </c>
    </row>
    <row r="65" spans="1:13" x14ac:dyDescent="0.3">
      <c r="B65" s="1">
        <v>42381971.369999997</v>
      </c>
      <c r="C65" s="1">
        <v>1646310.3130000001</v>
      </c>
      <c r="D65" s="1">
        <v>50563445.600000001</v>
      </c>
      <c r="E65" s="1">
        <v>16369926.620999999</v>
      </c>
      <c r="F65" s="1">
        <v>35521478.733000003</v>
      </c>
      <c r="G65" s="1">
        <v>1007426.545</v>
      </c>
      <c r="H65" s="1">
        <v>20683919.947000001</v>
      </c>
      <c r="I65" s="1">
        <v>33942871.914999999</v>
      </c>
      <c r="J65" s="1">
        <v>17334331.149999999</v>
      </c>
      <c r="K65" s="1">
        <v>24438.258000000002</v>
      </c>
    </row>
    <row r="66" spans="1:13" x14ac:dyDescent="0.3">
      <c r="B66" s="1">
        <v>40184262.328000002</v>
      </c>
      <c r="C66" s="1">
        <v>1715771.3840000001</v>
      </c>
      <c r="D66" s="1">
        <v>51921841.081</v>
      </c>
      <c r="E66" s="1">
        <v>16193325.318</v>
      </c>
      <c r="F66" s="1">
        <v>35565477.979000002</v>
      </c>
      <c r="G66" s="1">
        <v>1158751.666</v>
      </c>
      <c r="H66" s="1">
        <v>20093646.162999999</v>
      </c>
      <c r="I66" s="1">
        <v>34059322</v>
      </c>
      <c r="J66" s="1">
        <v>17816030.206</v>
      </c>
      <c r="K66" s="1">
        <v>19355.694</v>
      </c>
    </row>
    <row r="67" spans="1:13" x14ac:dyDescent="0.3">
      <c r="B67" s="1">
        <v>37079667.983000003</v>
      </c>
      <c r="C67" s="1">
        <v>1829209.156</v>
      </c>
      <c r="D67" s="1">
        <v>57142142.625</v>
      </c>
      <c r="E67" s="1">
        <v>16309959.222999999</v>
      </c>
      <c r="F67" s="1">
        <v>35839385.868000001</v>
      </c>
      <c r="G67" s="1">
        <v>1284195.5929999999</v>
      </c>
      <c r="H67" s="1">
        <v>18873083.423</v>
      </c>
      <c r="I67" s="1">
        <v>33330748.054000001</v>
      </c>
      <c r="J67" s="1">
        <v>16432484.27</v>
      </c>
      <c r="K67" s="1">
        <v>23763.402999999998</v>
      </c>
    </row>
    <row r="68" spans="1:13" x14ac:dyDescent="0.3">
      <c r="B68" s="1">
        <v>38060433.571999997</v>
      </c>
      <c r="C68" s="1">
        <v>1857759.1090000002</v>
      </c>
      <c r="D68" s="1">
        <v>59967031.734999999</v>
      </c>
      <c r="E68" s="1">
        <v>16690413.222999999</v>
      </c>
      <c r="F68" s="1">
        <v>37348243.130000003</v>
      </c>
      <c r="G68" s="1">
        <v>1296424.8389999999</v>
      </c>
      <c r="H68" s="1">
        <v>18842467.826000001</v>
      </c>
      <c r="I68" s="1">
        <v>32311643.842</v>
      </c>
      <c r="J68" s="1">
        <v>16620388.414999999</v>
      </c>
      <c r="K68" s="1">
        <v>18073.909</v>
      </c>
    </row>
    <row r="69" spans="1:13" x14ac:dyDescent="0.3">
      <c r="B69" s="1">
        <v>37348120.603</v>
      </c>
      <c r="C69" s="1">
        <v>1651893.2930000001</v>
      </c>
      <c r="D69" s="1">
        <v>52136796.732000001</v>
      </c>
      <c r="E69" s="1">
        <v>16285417.450999999</v>
      </c>
      <c r="F69" s="1">
        <v>40488988.075000003</v>
      </c>
      <c r="G69" s="1">
        <v>1279157.3939999999</v>
      </c>
      <c r="H69" s="1">
        <v>18416129.625</v>
      </c>
      <c r="I69" s="1">
        <v>34296294.656000003</v>
      </c>
      <c r="J69" s="1">
        <v>15983899.169</v>
      </c>
      <c r="K69" s="1">
        <v>27296.952000000001</v>
      </c>
    </row>
    <row r="70" spans="1:13" x14ac:dyDescent="0.3">
      <c r="B70" s="1">
        <v>37935447.170999996</v>
      </c>
      <c r="C70" s="1">
        <v>1665053.62</v>
      </c>
      <c r="D70" s="1">
        <v>51630150.725000001</v>
      </c>
      <c r="E70" s="1">
        <v>15811391.493999999</v>
      </c>
      <c r="F70" s="1">
        <v>40173111.090000004</v>
      </c>
      <c r="G70" s="1">
        <v>1080960.4509999999</v>
      </c>
      <c r="H70" s="1">
        <v>17865747.82</v>
      </c>
      <c r="I70" s="1">
        <v>35219467.387999997</v>
      </c>
      <c r="J70" s="1">
        <v>16630740.861</v>
      </c>
      <c r="K70" s="1">
        <v>20812.849999999999</v>
      </c>
    </row>
    <row r="71" spans="1:13" x14ac:dyDescent="0.3">
      <c r="B71" s="1">
        <v>42179851.288999997</v>
      </c>
      <c r="C71" s="1">
        <v>1672097.3059999999</v>
      </c>
      <c r="D71" s="1">
        <v>59106311.957999997</v>
      </c>
      <c r="E71" s="1">
        <v>15706613.183</v>
      </c>
      <c r="F71" s="1">
        <v>34788851.449000001</v>
      </c>
      <c r="G71" s="1">
        <v>1147278.811</v>
      </c>
      <c r="H71" s="1">
        <v>18499394.197999999</v>
      </c>
      <c r="I71" s="1">
        <v>35110666.623999998</v>
      </c>
      <c r="J71" s="1">
        <v>16195205.017999999</v>
      </c>
      <c r="K71" s="1">
        <v>16246.739</v>
      </c>
    </row>
    <row r="72" spans="1:13" x14ac:dyDescent="0.3">
      <c r="B72" s="1">
        <v>39980719.305</v>
      </c>
      <c r="C72" s="1">
        <v>1652697.5430000001</v>
      </c>
      <c r="D72" s="1">
        <v>52494732.024999999</v>
      </c>
      <c r="E72" s="1">
        <v>15584195.097999999</v>
      </c>
      <c r="F72" s="1">
        <v>30821631.857000001</v>
      </c>
      <c r="G72" s="1">
        <v>1289361.2420000001</v>
      </c>
      <c r="H72" s="1">
        <v>18380913.572000001</v>
      </c>
      <c r="I72" s="1">
        <v>33309270.498</v>
      </c>
      <c r="J72" s="1">
        <v>16798292.919</v>
      </c>
      <c r="K72" s="1">
        <v>22133.017</v>
      </c>
    </row>
    <row r="73" spans="1:13" x14ac:dyDescent="0.3">
      <c r="A73" s="1" t="s">
        <v>47</v>
      </c>
      <c r="B73" s="1">
        <f>AVERAGE(B63:B72)/17</f>
        <v>2394690.2522647055</v>
      </c>
      <c r="C73" s="1">
        <f t="shared" ref="C73:K73" si="5">AVERAGE(C63:C72)/17</f>
        <v>99814.864611764686</v>
      </c>
      <c r="D73" s="1">
        <f t="shared" si="5"/>
        <v>3138109.1144882352</v>
      </c>
      <c r="E73" s="1">
        <f t="shared" si="5"/>
        <v>955381.37034705898</v>
      </c>
      <c r="F73" s="1">
        <f t="shared" si="5"/>
        <v>2147292.9022117653</v>
      </c>
      <c r="G73" s="1">
        <f t="shared" si="5"/>
        <v>68680.321370588237</v>
      </c>
      <c r="H73" s="1">
        <f t="shared" si="5"/>
        <v>1130427.3555999999</v>
      </c>
      <c r="I73" s="1">
        <f t="shared" si="5"/>
        <v>1993555.668694118</v>
      </c>
      <c r="J73" s="1">
        <f t="shared" si="5"/>
        <v>997999.93752941187</v>
      </c>
      <c r="K73" s="1">
        <f t="shared" si="5"/>
        <v>1258.745394117647</v>
      </c>
      <c r="L73" s="1">
        <f>AVERAGE(B73:K73)</f>
        <v>1292721.0532511766</v>
      </c>
      <c r="M73" s="1">
        <f>_xlfn.STDEV.P(B73:K73)</f>
        <v>1032348.247356174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73"/>
  <sheetViews>
    <sheetView topLeftCell="A52" workbookViewId="0">
      <selection sqref="A1:P1048576"/>
    </sheetView>
  </sheetViews>
  <sheetFormatPr defaultRowHeight="14.4" x14ac:dyDescent="0.3"/>
  <cols>
    <col min="1" max="1" width="8.88671875" style="1"/>
    <col min="2" max="2" width="11" style="1" bestFit="1" customWidth="1"/>
    <col min="3" max="13" width="8.88671875" style="1"/>
  </cols>
  <sheetData>
    <row r="1" spans="1:14" x14ac:dyDescent="0.3">
      <c r="B1" s="1" t="s">
        <v>130</v>
      </c>
      <c r="L1" s="1" t="s">
        <v>127</v>
      </c>
      <c r="M1" s="1" t="s">
        <v>128</v>
      </c>
      <c r="N1" s="1" t="s">
        <v>67</v>
      </c>
    </row>
    <row r="2" spans="1:14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N2" t="s">
        <v>68</v>
      </c>
    </row>
    <row r="3" spans="1:14" x14ac:dyDescent="0.3">
      <c r="B3" s="1">
        <v>281.48700000000002</v>
      </c>
      <c r="C3" s="1">
        <v>545.09199999999998</v>
      </c>
      <c r="D3" s="1">
        <v>55.853999999999999</v>
      </c>
      <c r="E3" s="1">
        <v>156.726</v>
      </c>
      <c r="F3" s="1">
        <v>209.39599999999999</v>
      </c>
      <c r="G3" s="1">
        <v>306.57400000000001</v>
      </c>
      <c r="H3" s="1">
        <v>117.84699999999999</v>
      </c>
      <c r="I3" s="1">
        <v>249.643</v>
      </c>
      <c r="J3" s="1">
        <v>295.34800000000001</v>
      </c>
      <c r="K3" s="1">
        <v>74.177000000000007</v>
      </c>
      <c r="N3" t="s">
        <v>93</v>
      </c>
    </row>
    <row r="4" spans="1:14" x14ac:dyDescent="0.3">
      <c r="B4" s="1">
        <v>97.48</v>
      </c>
      <c r="C4" s="1">
        <v>35.372999999999998</v>
      </c>
      <c r="D4" s="1">
        <v>96.926000000000002</v>
      </c>
      <c r="E4" s="1">
        <v>95.275000000000006</v>
      </c>
      <c r="F4" s="1">
        <v>25.311</v>
      </c>
      <c r="G4" s="1">
        <v>84.222999999999999</v>
      </c>
      <c r="H4" s="1">
        <v>63.944000000000003</v>
      </c>
      <c r="I4" s="1">
        <v>58.000999999999998</v>
      </c>
      <c r="J4" s="1">
        <v>21.61</v>
      </c>
      <c r="K4" s="1">
        <v>38.968000000000004</v>
      </c>
      <c r="N4" t="s">
        <v>94</v>
      </c>
    </row>
    <row r="5" spans="1:14" x14ac:dyDescent="0.3">
      <c r="B5" s="1">
        <v>62.685000000000002</v>
      </c>
      <c r="C5" s="1">
        <v>76.450999999999993</v>
      </c>
      <c r="D5" s="1">
        <v>64.855999999999995</v>
      </c>
      <c r="E5" s="1">
        <v>93.775999999999996</v>
      </c>
      <c r="F5" s="1">
        <v>56.957000000000001</v>
      </c>
      <c r="G5" s="1">
        <v>49.743000000000002</v>
      </c>
      <c r="H5" s="1">
        <v>38.512</v>
      </c>
      <c r="I5" s="1">
        <v>102.066</v>
      </c>
      <c r="J5" s="1">
        <v>55.398000000000003</v>
      </c>
      <c r="K5" s="1">
        <v>62.981000000000002</v>
      </c>
    </row>
    <row r="6" spans="1:14" x14ac:dyDescent="0.3">
      <c r="B6" s="1">
        <v>52.807000000000002</v>
      </c>
      <c r="C6" s="1">
        <v>41.222999999999999</v>
      </c>
      <c r="D6" s="1">
        <v>30.905000000000001</v>
      </c>
      <c r="E6" s="1">
        <v>26.024000000000001</v>
      </c>
      <c r="F6" s="1">
        <v>58.216000000000001</v>
      </c>
      <c r="G6" s="1">
        <v>31.248000000000001</v>
      </c>
      <c r="H6" s="1">
        <v>60.732999999999997</v>
      </c>
      <c r="I6" s="1">
        <v>46.889000000000003</v>
      </c>
      <c r="J6" s="1">
        <v>51.597000000000001</v>
      </c>
      <c r="K6" s="1">
        <v>25.611000000000001</v>
      </c>
      <c r="N6" t="s">
        <v>96</v>
      </c>
    </row>
    <row r="7" spans="1:14" x14ac:dyDescent="0.3">
      <c r="B7" s="1">
        <v>30.856999999999999</v>
      </c>
      <c r="C7" s="1">
        <v>102.649</v>
      </c>
      <c r="D7" s="1">
        <v>109.318</v>
      </c>
      <c r="E7" s="1">
        <v>89.427000000000007</v>
      </c>
      <c r="F7" s="1">
        <v>48.5</v>
      </c>
      <c r="G7" s="1">
        <v>87.271000000000001</v>
      </c>
      <c r="H7" s="1">
        <v>21.614999999999998</v>
      </c>
      <c r="I7" s="1">
        <v>24.95</v>
      </c>
      <c r="J7" s="1">
        <v>41.701999999999998</v>
      </c>
      <c r="K7" s="1">
        <v>37.94</v>
      </c>
      <c r="N7" t="s">
        <v>97</v>
      </c>
    </row>
    <row r="8" spans="1:14" x14ac:dyDescent="0.3">
      <c r="B8" s="1">
        <v>23.004999999999999</v>
      </c>
      <c r="C8" s="1">
        <v>41.234000000000002</v>
      </c>
      <c r="D8" s="1">
        <v>70.090999999999994</v>
      </c>
      <c r="E8" s="1">
        <v>132.369</v>
      </c>
      <c r="F8" s="1">
        <v>62.305999999999997</v>
      </c>
      <c r="G8" s="1">
        <v>52.79</v>
      </c>
      <c r="H8" s="1">
        <v>63.811</v>
      </c>
      <c r="I8" s="1">
        <v>28.061</v>
      </c>
      <c r="J8" s="1">
        <v>57.624000000000002</v>
      </c>
      <c r="K8" s="1">
        <v>29.577000000000002</v>
      </c>
      <c r="N8" t="s">
        <v>98</v>
      </c>
    </row>
    <row r="9" spans="1:14" x14ac:dyDescent="0.3">
      <c r="B9" s="1">
        <v>26.585000000000001</v>
      </c>
      <c r="C9" s="1">
        <v>55.942</v>
      </c>
      <c r="D9" s="1">
        <v>61.500999999999998</v>
      </c>
      <c r="E9" s="1">
        <v>89.010999999999996</v>
      </c>
      <c r="F9" s="1">
        <v>49.74</v>
      </c>
      <c r="G9" s="1">
        <v>57.042000000000002</v>
      </c>
      <c r="H9" s="1">
        <v>59.341999999999999</v>
      </c>
      <c r="I9" s="1">
        <v>153.41200000000001</v>
      </c>
      <c r="J9" s="1">
        <v>33.301000000000002</v>
      </c>
      <c r="K9" s="1">
        <v>63.825000000000003</v>
      </c>
      <c r="N9" t="s">
        <v>99</v>
      </c>
    </row>
    <row r="10" spans="1:14" x14ac:dyDescent="0.3">
      <c r="B10" s="1">
        <v>23.768000000000001</v>
      </c>
      <c r="C10" s="1">
        <v>42.122999999999998</v>
      </c>
      <c r="D10" s="1">
        <v>91.293000000000006</v>
      </c>
      <c r="E10" s="1">
        <v>27.536999999999999</v>
      </c>
      <c r="F10" s="1">
        <v>121.093</v>
      </c>
      <c r="G10" s="1">
        <v>25.353999999999999</v>
      </c>
      <c r="H10" s="1">
        <v>36.192</v>
      </c>
      <c r="I10" s="1">
        <v>128.34200000000001</v>
      </c>
      <c r="J10" s="1">
        <v>54.207000000000001</v>
      </c>
      <c r="K10" s="1">
        <v>35.238</v>
      </c>
      <c r="N10" t="s">
        <v>94</v>
      </c>
    </row>
    <row r="11" spans="1:14" x14ac:dyDescent="0.3">
      <c r="B11" s="1">
        <v>21.097000000000001</v>
      </c>
      <c r="C11" s="1">
        <v>59.761000000000003</v>
      </c>
      <c r="D11" s="1">
        <v>41.537999999999997</v>
      </c>
      <c r="E11" s="1">
        <v>58.125</v>
      </c>
      <c r="F11" s="1">
        <v>73.412000000000006</v>
      </c>
      <c r="G11" s="1">
        <v>39.972000000000001</v>
      </c>
      <c r="H11" s="1">
        <v>39.948999999999998</v>
      </c>
      <c r="I11" s="1">
        <v>118.485</v>
      </c>
      <c r="J11" s="1">
        <v>181.94499999999999</v>
      </c>
      <c r="K11" s="1">
        <v>65.768000000000001</v>
      </c>
    </row>
    <row r="12" spans="1:14" x14ac:dyDescent="0.3">
      <c r="B12" s="1">
        <v>39.718000000000004</v>
      </c>
      <c r="C12" s="1">
        <v>42.048999999999999</v>
      </c>
      <c r="D12" s="1">
        <v>121.619</v>
      </c>
      <c r="E12" s="1">
        <v>52.232999999999997</v>
      </c>
      <c r="F12" s="1">
        <v>137.38900000000001</v>
      </c>
      <c r="G12" s="1">
        <v>25.446999999999999</v>
      </c>
      <c r="H12" s="1">
        <v>21.771000000000001</v>
      </c>
      <c r="I12" s="1">
        <v>94.641000000000005</v>
      </c>
      <c r="J12" s="1">
        <v>119.099</v>
      </c>
      <c r="K12" s="1">
        <v>34.764000000000003</v>
      </c>
      <c r="N12" t="s">
        <v>96</v>
      </c>
    </row>
    <row r="13" spans="1:14" x14ac:dyDescent="0.3">
      <c r="A13" s="2" t="s">
        <v>11</v>
      </c>
      <c r="B13" s="1">
        <f xml:space="preserve"> AVERAGE(B3:B12)/5</f>
        <v>13.189780000000003</v>
      </c>
      <c r="C13" s="1">
        <f t="shared" ref="C13:K13" si="0" xml:space="preserve"> AVERAGE(C3:C12)/5</f>
        <v>20.837940000000003</v>
      </c>
      <c r="D13" s="1">
        <f t="shared" si="0"/>
        <v>14.878019999999998</v>
      </c>
      <c r="E13" s="1">
        <f t="shared" si="0"/>
        <v>16.410059999999998</v>
      </c>
      <c r="F13" s="1">
        <f t="shared" si="0"/>
        <v>16.846399999999999</v>
      </c>
      <c r="G13" s="1">
        <f t="shared" si="0"/>
        <v>15.193279999999998</v>
      </c>
      <c r="H13" s="1">
        <f t="shared" si="0"/>
        <v>10.474320000000001</v>
      </c>
      <c r="I13" s="1">
        <f t="shared" si="0"/>
        <v>20.0898</v>
      </c>
      <c r="J13" s="1">
        <f t="shared" si="0"/>
        <v>18.236619999999998</v>
      </c>
      <c r="K13" s="1">
        <f t="shared" si="0"/>
        <v>9.3769799999999996</v>
      </c>
      <c r="L13" s="1">
        <f>AVERAGE(B13:K13)</f>
        <v>15.553319999999999</v>
      </c>
      <c r="M13" s="1">
        <f>_xlfn.STDEV.P(B13:K13)</f>
        <v>3.5808995316484364</v>
      </c>
      <c r="N13" t="s">
        <v>101</v>
      </c>
    </row>
    <row r="14" spans="1:14" x14ac:dyDescent="0.3">
      <c r="B14" s="1" t="s">
        <v>12</v>
      </c>
      <c r="C14" s="1" t="s">
        <v>13</v>
      </c>
      <c r="D14" s="1" t="s">
        <v>14</v>
      </c>
      <c r="E14" s="1" t="s">
        <v>15</v>
      </c>
      <c r="F14" s="1" t="s">
        <v>16</v>
      </c>
      <c r="G14" s="1" t="s">
        <v>17</v>
      </c>
      <c r="H14" s="1" t="s">
        <v>18</v>
      </c>
      <c r="I14" s="1" t="s">
        <v>19</v>
      </c>
      <c r="J14" s="1" t="s">
        <v>20</v>
      </c>
      <c r="K14" s="1" t="s">
        <v>21</v>
      </c>
      <c r="N14" t="s">
        <v>98</v>
      </c>
    </row>
    <row r="15" spans="1:14" x14ac:dyDescent="0.3">
      <c r="B15" s="1">
        <v>199.49700000000001</v>
      </c>
      <c r="C15" s="1">
        <v>225.667</v>
      </c>
      <c r="D15" s="1">
        <v>574.02599999999995</v>
      </c>
      <c r="E15" s="1">
        <v>165.363</v>
      </c>
      <c r="F15" s="1">
        <v>244.68600000000001</v>
      </c>
      <c r="G15" s="1">
        <v>295.99299999999999</v>
      </c>
      <c r="H15" s="1">
        <v>166.78</v>
      </c>
      <c r="I15" s="1">
        <v>291.50700000000001</v>
      </c>
      <c r="J15" s="1">
        <v>270.97300000000001</v>
      </c>
      <c r="K15" s="1">
        <v>131.04400000000001</v>
      </c>
      <c r="N15" t="s">
        <v>102</v>
      </c>
    </row>
    <row r="16" spans="1:14" x14ac:dyDescent="0.3">
      <c r="B16" s="1">
        <v>211.9</v>
      </c>
      <c r="C16" s="1">
        <v>126.363</v>
      </c>
      <c r="D16" s="1">
        <v>293.97800000000001</v>
      </c>
      <c r="E16" s="1">
        <v>104.678</v>
      </c>
      <c r="F16" s="1">
        <v>41.820999999999998</v>
      </c>
      <c r="G16" s="1">
        <v>57.070999999999998</v>
      </c>
      <c r="H16" s="1">
        <v>73.323999999999998</v>
      </c>
      <c r="I16" s="1">
        <v>24.908999999999999</v>
      </c>
      <c r="J16" s="1">
        <v>172.63</v>
      </c>
      <c r="K16" s="1">
        <v>191.46100000000001</v>
      </c>
      <c r="N16" t="s">
        <v>94</v>
      </c>
    </row>
    <row r="17" spans="1:14" x14ac:dyDescent="0.3">
      <c r="B17" s="1">
        <v>107.59399999999999</v>
      </c>
      <c r="C17" s="1">
        <v>63.616</v>
      </c>
      <c r="D17" s="1">
        <v>52.841999999999999</v>
      </c>
      <c r="E17" s="1">
        <v>114.732</v>
      </c>
      <c r="F17" s="1">
        <v>64.924000000000007</v>
      </c>
      <c r="G17" s="1">
        <v>77.3</v>
      </c>
      <c r="H17" s="1">
        <v>25.582000000000001</v>
      </c>
      <c r="I17" s="1">
        <v>199.12100000000001</v>
      </c>
      <c r="J17" s="1">
        <v>175.726</v>
      </c>
      <c r="K17" s="1">
        <v>143.65600000000001</v>
      </c>
    </row>
    <row r="18" spans="1:14" x14ac:dyDescent="0.3">
      <c r="B18" s="1">
        <v>206.31899999999999</v>
      </c>
      <c r="C18" s="1">
        <v>70.400000000000006</v>
      </c>
      <c r="D18" s="1">
        <v>159.167</v>
      </c>
      <c r="E18" s="1">
        <v>181.483</v>
      </c>
      <c r="F18" s="1">
        <v>110.15900000000001</v>
      </c>
      <c r="G18" s="1">
        <v>73.506</v>
      </c>
      <c r="H18" s="1">
        <v>38.753</v>
      </c>
      <c r="I18" s="1">
        <v>117.866</v>
      </c>
      <c r="J18" s="1">
        <v>54.204000000000001</v>
      </c>
      <c r="K18" s="1">
        <v>297.851</v>
      </c>
      <c r="N18" t="s">
        <v>96</v>
      </c>
    </row>
    <row r="19" spans="1:14" x14ac:dyDescent="0.3">
      <c r="B19" s="1">
        <v>363.87</v>
      </c>
      <c r="C19" s="1">
        <v>81.89</v>
      </c>
      <c r="D19" s="1">
        <v>90.122</v>
      </c>
      <c r="E19" s="1">
        <v>71.617000000000004</v>
      </c>
      <c r="F19" s="1">
        <v>142.905</v>
      </c>
      <c r="G19" s="1">
        <v>100.229</v>
      </c>
      <c r="H19" s="1">
        <v>67.960999999999999</v>
      </c>
      <c r="I19" s="1">
        <v>105.30500000000001</v>
      </c>
      <c r="J19" s="1">
        <v>154.59200000000001</v>
      </c>
      <c r="K19" s="1">
        <v>126.776</v>
      </c>
      <c r="N19" t="s">
        <v>104</v>
      </c>
    </row>
    <row r="20" spans="1:14" x14ac:dyDescent="0.3">
      <c r="B20" s="1">
        <v>171.37100000000001</v>
      </c>
      <c r="C20" s="1">
        <v>202.422</v>
      </c>
      <c r="D20" s="1">
        <v>112.72</v>
      </c>
      <c r="E20" s="1">
        <v>56.040999999999997</v>
      </c>
      <c r="F20" s="1">
        <v>161.303</v>
      </c>
      <c r="G20" s="1">
        <v>53.097000000000001</v>
      </c>
      <c r="H20" s="1">
        <v>50.558999999999997</v>
      </c>
      <c r="I20" s="1">
        <v>41.912999999999997</v>
      </c>
      <c r="J20" s="1">
        <v>159.80199999999999</v>
      </c>
      <c r="K20" s="1">
        <v>127.994</v>
      </c>
      <c r="N20" t="s">
        <v>98</v>
      </c>
    </row>
    <row r="21" spans="1:14" x14ac:dyDescent="0.3">
      <c r="B21" s="1">
        <v>110.666</v>
      </c>
      <c r="C21" s="1">
        <v>196.53399999999999</v>
      </c>
      <c r="D21" s="1">
        <v>162.065</v>
      </c>
      <c r="E21" s="1">
        <v>38.561999999999998</v>
      </c>
      <c r="F21" s="1">
        <v>54.877000000000002</v>
      </c>
      <c r="G21" s="1">
        <v>182.04900000000001</v>
      </c>
      <c r="H21" s="1">
        <v>184.18700000000001</v>
      </c>
      <c r="I21" s="1">
        <v>144.12899999999999</v>
      </c>
      <c r="J21" s="1">
        <v>64.793000000000006</v>
      </c>
      <c r="K21" s="1">
        <v>131.673</v>
      </c>
      <c r="N21" t="s">
        <v>105</v>
      </c>
    </row>
    <row r="22" spans="1:14" x14ac:dyDescent="0.3">
      <c r="B22" s="1">
        <v>140.48699999999999</v>
      </c>
      <c r="C22" s="1">
        <v>280.50299999999999</v>
      </c>
      <c r="D22" s="1">
        <v>171.42500000000001</v>
      </c>
      <c r="E22" s="1">
        <v>47.505000000000003</v>
      </c>
      <c r="F22" s="1">
        <v>58.99</v>
      </c>
      <c r="G22" s="1">
        <v>71.23</v>
      </c>
      <c r="H22" s="1">
        <v>65.489999999999995</v>
      </c>
      <c r="I22" s="1">
        <v>37.67</v>
      </c>
      <c r="J22" s="1">
        <v>99.073999999999998</v>
      </c>
      <c r="K22" s="1">
        <v>103.42100000000001</v>
      </c>
      <c r="N22" t="s">
        <v>94</v>
      </c>
    </row>
    <row r="23" spans="1:14" x14ac:dyDescent="0.3">
      <c r="B23" s="1">
        <v>25.018999999999998</v>
      </c>
      <c r="C23" s="1">
        <v>243.54599999999999</v>
      </c>
      <c r="D23" s="1">
        <v>89.628</v>
      </c>
      <c r="E23" s="1">
        <v>21.013999999999999</v>
      </c>
      <c r="F23" s="1">
        <v>138.803</v>
      </c>
      <c r="G23" s="1">
        <v>78.201999999999998</v>
      </c>
      <c r="H23" s="1">
        <v>165.71899999999999</v>
      </c>
      <c r="I23" s="1">
        <v>46.326000000000001</v>
      </c>
      <c r="J23" s="1">
        <v>110.67100000000001</v>
      </c>
      <c r="K23" s="1">
        <v>174.82900000000001</v>
      </c>
    </row>
    <row r="24" spans="1:14" x14ac:dyDescent="0.3">
      <c r="B24" s="1">
        <v>152.07300000000001</v>
      </c>
      <c r="C24" s="1">
        <v>80.994</v>
      </c>
      <c r="D24" s="1">
        <v>98.421999999999997</v>
      </c>
      <c r="E24" s="1">
        <v>92.691000000000003</v>
      </c>
      <c r="F24" s="1">
        <v>316.32400000000001</v>
      </c>
      <c r="G24" s="1">
        <v>70.533000000000001</v>
      </c>
      <c r="H24" s="1">
        <v>131.536</v>
      </c>
      <c r="I24" s="1">
        <v>76.870999999999995</v>
      </c>
      <c r="J24" s="1">
        <v>69.230999999999995</v>
      </c>
      <c r="K24" s="1">
        <v>98.992999999999995</v>
      </c>
      <c r="N24" t="s">
        <v>96</v>
      </c>
    </row>
    <row r="25" spans="1:14" x14ac:dyDescent="0.3">
      <c r="A25" s="1" t="s">
        <v>22</v>
      </c>
      <c r="B25" s="1">
        <f>AVERAGE(B15:B24)/7</f>
        <v>24.125657142857143</v>
      </c>
      <c r="C25" s="1">
        <f t="shared" ref="C25:K25" si="1">AVERAGE(C15:C24)/7</f>
        <v>22.456214285714285</v>
      </c>
      <c r="D25" s="1">
        <f t="shared" si="1"/>
        <v>25.777071428571428</v>
      </c>
      <c r="E25" s="1">
        <f t="shared" si="1"/>
        <v>12.766942857142856</v>
      </c>
      <c r="F25" s="1">
        <f t="shared" si="1"/>
        <v>19.068457142857142</v>
      </c>
      <c r="G25" s="1">
        <f t="shared" si="1"/>
        <v>15.13157142857143</v>
      </c>
      <c r="H25" s="1">
        <f t="shared" si="1"/>
        <v>13.855585714285715</v>
      </c>
      <c r="I25" s="1">
        <f t="shared" si="1"/>
        <v>15.508814285714289</v>
      </c>
      <c r="J25" s="1">
        <f t="shared" si="1"/>
        <v>19.024228571428573</v>
      </c>
      <c r="K25" s="1">
        <f t="shared" si="1"/>
        <v>21.824257142857139</v>
      </c>
      <c r="L25" s="1">
        <f>AVERAGE(B25:K25)</f>
        <v>18.953880000000002</v>
      </c>
      <c r="M25" s="1">
        <f>_xlfn.STDEV.P(B25:K25)</f>
        <v>4.2962311826178388</v>
      </c>
      <c r="N25" t="s">
        <v>107</v>
      </c>
    </row>
    <row r="26" spans="1:14" x14ac:dyDescent="0.3">
      <c r="B26" s="1" t="s">
        <v>23</v>
      </c>
      <c r="C26" s="1" t="s">
        <v>24</v>
      </c>
      <c r="D26" s="1" t="s">
        <v>25</v>
      </c>
      <c r="E26" s="1" t="s">
        <v>26</v>
      </c>
      <c r="F26" s="1" t="s">
        <v>27</v>
      </c>
      <c r="G26" s="1" t="s">
        <v>28</v>
      </c>
      <c r="H26" s="1" t="s">
        <v>29</v>
      </c>
      <c r="I26" s="1" t="s">
        <v>30</v>
      </c>
      <c r="J26" s="1" t="s">
        <v>31</v>
      </c>
      <c r="K26" s="1" t="s">
        <v>32</v>
      </c>
      <c r="N26" t="s">
        <v>98</v>
      </c>
    </row>
    <row r="27" spans="1:14" x14ac:dyDescent="0.3">
      <c r="B27" s="1">
        <v>225.03800000000001</v>
      </c>
      <c r="C27" s="1">
        <v>286.70299999999997</v>
      </c>
      <c r="D27" s="1">
        <v>224.989</v>
      </c>
      <c r="E27" s="1">
        <v>561.37400000000002</v>
      </c>
      <c r="F27" s="1">
        <v>391.75299999999999</v>
      </c>
      <c r="G27" s="1">
        <v>127.21599999999999</v>
      </c>
      <c r="H27" s="1">
        <v>306.32</v>
      </c>
      <c r="I27" s="1">
        <v>132.63399999999999</v>
      </c>
      <c r="J27" s="1">
        <v>105.096</v>
      </c>
      <c r="K27" s="1">
        <v>259.32</v>
      </c>
      <c r="N27" t="s">
        <v>108</v>
      </c>
    </row>
    <row r="28" spans="1:14" x14ac:dyDescent="0.3">
      <c r="B28" s="1">
        <v>59.648000000000003</v>
      </c>
      <c r="C28" s="1">
        <v>26.872</v>
      </c>
      <c r="D28" s="1">
        <v>170.46700000000001</v>
      </c>
      <c r="E28" s="1">
        <v>58.274999999999999</v>
      </c>
      <c r="F28" s="1">
        <v>166.70599999999999</v>
      </c>
      <c r="G28" s="1">
        <v>84.087000000000003</v>
      </c>
      <c r="H28" s="1">
        <v>45.722999999999999</v>
      </c>
      <c r="I28" s="1">
        <v>396.77300000000002</v>
      </c>
      <c r="J28" s="1">
        <v>109.25</v>
      </c>
      <c r="K28" s="1">
        <v>32.762</v>
      </c>
      <c r="N28" t="s">
        <v>96</v>
      </c>
    </row>
    <row r="29" spans="1:14" x14ac:dyDescent="0.3">
      <c r="B29" s="1">
        <v>38.01</v>
      </c>
      <c r="C29" s="1">
        <v>81.725999999999999</v>
      </c>
      <c r="D29" s="1">
        <v>51.667000000000002</v>
      </c>
      <c r="E29" s="1">
        <v>227.83099999999999</v>
      </c>
      <c r="F29" s="1">
        <v>193.58199999999999</v>
      </c>
      <c r="G29" s="1">
        <v>83.167000000000002</v>
      </c>
      <c r="H29" s="1">
        <v>170.37899999999999</v>
      </c>
      <c r="I29" s="1">
        <v>106.351</v>
      </c>
      <c r="J29" s="1">
        <v>168.59399999999999</v>
      </c>
      <c r="K29" s="1">
        <v>116.63200000000001</v>
      </c>
      <c r="N29" t="s">
        <v>109</v>
      </c>
    </row>
    <row r="30" spans="1:14" x14ac:dyDescent="0.3">
      <c r="B30" s="1">
        <v>187.142</v>
      </c>
      <c r="C30" s="1">
        <v>109.768</v>
      </c>
      <c r="D30" s="1">
        <v>56.314999999999998</v>
      </c>
      <c r="E30" s="1">
        <v>128.83199999999999</v>
      </c>
      <c r="F30" s="1">
        <v>179.80799999999999</v>
      </c>
      <c r="G30" s="1">
        <v>82.426000000000002</v>
      </c>
      <c r="H30" s="1">
        <v>52.756</v>
      </c>
      <c r="I30" s="1">
        <v>39.284999999999997</v>
      </c>
      <c r="J30" s="1">
        <v>76.513000000000005</v>
      </c>
      <c r="K30" s="1">
        <v>68.825000000000003</v>
      </c>
      <c r="N30" t="s">
        <v>94</v>
      </c>
    </row>
    <row r="31" spans="1:14" x14ac:dyDescent="0.3">
      <c r="B31" s="1">
        <v>37.866</v>
      </c>
      <c r="C31" s="1">
        <v>43.136000000000003</v>
      </c>
      <c r="D31" s="1">
        <v>157.309</v>
      </c>
      <c r="E31" s="1">
        <v>67.338999999999999</v>
      </c>
      <c r="F31" s="1">
        <v>48.250999999999998</v>
      </c>
      <c r="G31" s="1">
        <v>101.965</v>
      </c>
      <c r="H31" s="1">
        <v>113.96299999999999</v>
      </c>
      <c r="I31" s="1">
        <v>64.319000000000003</v>
      </c>
      <c r="J31" s="1">
        <v>65.453999999999994</v>
      </c>
      <c r="K31" s="1">
        <v>112.515</v>
      </c>
    </row>
    <row r="32" spans="1:14" x14ac:dyDescent="0.3">
      <c r="B32" s="1">
        <v>50.77</v>
      </c>
      <c r="C32" s="1">
        <v>383.45499999999998</v>
      </c>
      <c r="D32" s="1">
        <v>60.65</v>
      </c>
      <c r="E32" s="1">
        <v>75.745000000000005</v>
      </c>
      <c r="F32" s="1">
        <v>76.799000000000007</v>
      </c>
      <c r="G32" s="1">
        <v>130.173</v>
      </c>
      <c r="H32" s="1">
        <v>308.20699999999999</v>
      </c>
      <c r="I32" s="1">
        <v>78.379000000000005</v>
      </c>
      <c r="J32" s="1">
        <v>225.61699999999999</v>
      </c>
      <c r="K32" s="1">
        <v>62.816000000000003</v>
      </c>
      <c r="N32" t="s">
        <v>98</v>
      </c>
    </row>
    <row r="33" spans="1:14" x14ac:dyDescent="0.3">
      <c r="B33" s="1">
        <v>163.798</v>
      </c>
      <c r="C33" s="1">
        <v>82.323999999999998</v>
      </c>
      <c r="D33" s="1">
        <v>218.54599999999999</v>
      </c>
      <c r="E33" s="1">
        <v>93.165999999999997</v>
      </c>
      <c r="F33" s="1">
        <v>175.17</v>
      </c>
      <c r="G33" s="1">
        <v>138.71600000000001</v>
      </c>
      <c r="H33" s="1">
        <v>62.511000000000003</v>
      </c>
      <c r="I33" s="1">
        <v>75.103999999999999</v>
      </c>
      <c r="J33" s="1">
        <v>68.332999999999998</v>
      </c>
      <c r="K33" s="1">
        <v>107.16200000000001</v>
      </c>
      <c r="N33" t="s">
        <v>111</v>
      </c>
    </row>
    <row r="34" spans="1:14" x14ac:dyDescent="0.3">
      <c r="B34" s="1">
        <v>36.942</v>
      </c>
      <c r="C34" s="1">
        <v>143.63999999999999</v>
      </c>
      <c r="D34" s="1">
        <v>67.466999999999999</v>
      </c>
      <c r="E34" s="1">
        <v>85.983000000000004</v>
      </c>
      <c r="F34" s="1">
        <v>51.682000000000002</v>
      </c>
      <c r="G34" s="1">
        <v>59.802999999999997</v>
      </c>
      <c r="H34" s="1">
        <v>233.95400000000001</v>
      </c>
      <c r="I34" s="1">
        <v>120.33499999999999</v>
      </c>
      <c r="J34" s="1">
        <v>52.143999999999998</v>
      </c>
      <c r="K34" s="1">
        <v>63.737000000000002</v>
      </c>
      <c r="N34" t="s">
        <v>94</v>
      </c>
    </row>
    <row r="35" spans="1:14" x14ac:dyDescent="0.3">
      <c r="B35" s="1">
        <v>59.082999999999998</v>
      </c>
      <c r="C35" s="1">
        <v>224.36</v>
      </c>
      <c r="D35" s="1">
        <v>509.80500000000001</v>
      </c>
      <c r="E35" s="1">
        <v>121.44799999999999</v>
      </c>
      <c r="F35" s="1">
        <v>132.51</v>
      </c>
      <c r="G35" s="1">
        <v>92.441999999999993</v>
      </c>
      <c r="H35" s="1">
        <v>174.26300000000001</v>
      </c>
      <c r="I35" s="1">
        <v>93.123999999999995</v>
      </c>
      <c r="J35" s="1">
        <v>215.572</v>
      </c>
      <c r="K35" s="1">
        <v>28.564</v>
      </c>
    </row>
    <row r="36" spans="1:14" x14ac:dyDescent="0.3">
      <c r="B36" s="1">
        <v>280.98</v>
      </c>
      <c r="C36" s="1">
        <v>148.13800000000001</v>
      </c>
      <c r="D36" s="1">
        <v>101.129</v>
      </c>
      <c r="E36" s="1">
        <v>71.909000000000006</v>
      </c>
      <c r="F36" s="1">
        <v>103.92400000000001</v>
      </c>
      <c r="G36" s="1">
        <v>209.84299999999999</v>
      </c>
      <c r="H36" s="1">
        <v>83.49</v>
      </c>
      <c r="I36" s="1">
        <v>159.922</v>
      </c>
      <c r="J36" s="1">
        <v>230.69300000000001</v>
      </c>
      <c r="K36" s="1">
        <v>138.34</v>
      </c>
      <c r="N36" t="s">
        <v>96</v>
      </c>
    </row>
    <row r="37" spans="1:14" x14ac:dyDescent="0.3">
      <c r="A37" s="1" t="s">
        <v>34</v>
      </c>
      <c r="B37" s="1">
        <f>AVERAGE(B27:B36)/10</f>
        <v>11.392770000000001</v>
      </c>
      <c r="C37" s="1">
        <f t="shared" ref="C37:K37" si="2">AVERAGE(C27:C36)/10</f>
        <v>15.301219999999997</v>
      </c>
      <c r="D37" s="1">
        <f t="shared" si="2"/>
        <v>16.183439999999997</v>
      </c>
      <c r="E37" s="1">
        <f t="shared" si="2"/>
        <v>14.919020000000003</v>
      </c>
      <c r="F37" s="1">
        <f t="shared" si="2"/>
        <v>15.201849999999999</v>
      </c>
      <c r="G37" s="1">
        <f t="shared" si="2"/>
        <v>11.098380000000001</v>
      </c>
      <c r="H37" s="1">
        <f t="shared" si="2"/>
        <v>15.515659999999997</v>
      </c>
      <c r="I37" s="1">
        <f t="shared" si="2"/>
        <v>12.66226</v>
      </c>
      <c r="J37" s="1">
        <f t="shared" si="2"/>
        <v>13.172659999999999</v>
      </c>
      <c r="K37" s="1">
        <f t="shared" si="2"/>
        <v>9.9067299999999996</v>
      </c>
      <c r="L37" s="1">
        <f>AVERAGE(B37:K37)</f>
        <v>13.535399000000002</v>
      </c>
      <c r="M37" s="1">
        <f>_xlfn.STDEV.P(B37:K37)</f>
        <v>2.0816881423952425</v>
      </c>
      <c r="N37" t="s">
        <v>113</v>
      </c>
    </row>
    <row r="38" spans="1:14" x14ac:dyDescent="0.3">
      <c r="B38" s="1" t="s">
        <v>35</v>
      </c>
      <c r="C38" s="1" t="s">
        <v>36</v>
      </c>
      <c r="D38" s="1" t="s">
        <v>37</v>
      </c>
      <c r="E38" s="1" t="s">
        <v>38</v>
      </c>
      <c r="F38" s="1" t="s">
        <v>39</v>
      </c>
      <c r="G38" s="1" t="s">
        <v>40</v>
      </c>
      <c r="H38" s="1" t="s">
        <v>41</v>
      </c>
      <c r="I38" s="1" t="s">
        <v>42</v>
      </c>
      <c r="J38" s="1" t="s">
        <v>43</v>
      </c>
      <c r="K38" s="1" t="s">
        <v>44</v>
      </c>
      <c r="N38" t="s">
        <v>98</v>
      </c>
    </row>
    <row r="39" spans="1:14" x14ac:dyDescent="0.3">
      <c r="B39" s="1">
        <v>274.10899999999998</v>
      </c>
      <c r="C39" s="1">
        <v>322.24799999999999</v>
      </c>
      <c r="D39" s="1">
        <v>397.596</v>
      </c>
      <c r="E39" s="1">
        <v>400.03</v>
      </c>
      <c r="F39" s="1">
        <v>103.999</v>
      </c>
      <c r="G39" s="1">
        <v>251.31</v>
      </c>
      <c r="H39" s="1">
        <v>70.921000000000006</v>
      </c>
      <c r="I39" s="1">
        <v>275.255</v>
      </c>
      <c r="J39" s="1">
        <v>350.58699999999999</v>
      </c>
      <c r="K39" s="1">
        <v>264.15100000000001</v>
      </c>
      <c r="N39" t="s">
        <v>114</v>
      </c>
    </row>
    <row r="40" spans="1:14" x14ac:dyDescent="0.3">
      <c r="B40" s="1">
        <v>150.286</v>
      </c>
      <c r="C40" s="1">
        <v>315.14</v>
      </c>
      <c r="D40" s="1">
        <v>199.34200000000001</v>
      </c>
      <c r="E40" s="1">
        <v>69.656000000000006</v>
      </c>
      <c r="F40" s="1">
        <v>35.529000000000003</v>
      </c>
      <c r="G40" s="1">
        <v>89.131</v>
      </c>
      <c r="H40" s="1">
        <v>103.8</v>
      </c>
      <c r="I40" s="1">
        <v>77.078999999999994</v>
      </c>
      <c r="J40" s="1">
        <v>80.400999999999996</v>
      </c>
      <c r="K40" s="1">
        <v>254.86199999999999</v>
      </c>
      <c r="N40" t="s">
        <v>94</v>
      </c>
    </row>
    <row r="41" spans="1:14" x14ac:dyDescent="0.3">
      <c r="B41" s="1">
        <v>127.848</v>
      </c>
      <c r="C41" s="1">
        <v>80.340999999999994</v>
      </c>
      <c r="D41" s="1">
        <v>178.99</v>
      </c>
      <c r="E41" s="1">
        <v>230.20699999999999</v>
      </c>
      <c r="F41" s="1">
        <v>279.85700000000003</v>
      </c>
      <c r="G41" s="1">
        <v>60.77</v>
      </c>
      <c r="H41" s="1">
        <v>99.287000000000006</v>
      </c>
      <c r="I41" s="1">
        <v>124.995</v>
      </c>
      <c r="J41" s="1">
        <v>245.292</v>
      </c>
      <c r="K41" s="1">
        <v>228.90799999999999</v>
      </c>
    </row>
    <row r="42" spans="1:14" x14ac:dyDescent="0.3">
      <c r="B42" s="1">
        <v>159.76400000000001</v>
      </c>
      <c r="C42" s="1">
        <v>139.48599999999999</v>
      </c>
      <c r="D42" s="1">
        <v>92.013000000000005</v>
      </c>
      <c r="E42" s="1">
        <v>38.387999999999998</v>
      </c>
      <c r="F42" s="1">
        <v>154.851</v>
      </c>
      <c r="G42" s="1">
        <v>250.44499999999999</v>
      </c>
      <c r="H42" s="1">
        <v>146.673</v>
      </c>
      <c r="I42" s="1">
        <v>79.334999999999994</v>
      </c>
      <c r="J42" s="1">
        <v>523.20399999999995</v>
      </c>
      <c r="K42" s="1">
        <v>63.295000000000002</v>
      </c>
      <c r="N42" t="s">
        <v>96</v>
      </c>
    </row>
    <row r="43" spans="1:14" x14ac:dyDescent="0.3">
      <c r="B43" s="1">
        <v>125.172</v>
      </c>
      <c r="C43" s="1">
        <v>175.72900000000001</v>
      </c>
      <c r="D43" s="1">
        <v>123.462</v>
      </c>
      <c r="E43" s="1">
        <v>52.561</v>
      </c>
      <c r="F43" s="1">
        <v>278.77100000000002</v>
      </c>
      <c r="G43" s="1">
        <v>197.578</v>
      </c>
      <c r="H43" s="1">
        <v>94.834000000000003</v>
      </c>
      <c r="I43" s="1">
        <v>98.652000000000001</v>
      </c>
      <c r="J43" s="1">
        <v>95.504999999999995</v>
      </c>
      <c r="K43" s="1">
        <v>43.26</v>
      </c>
      <c r="N43" t="s">
        <v>116</v>
      </c>
    </row>
    <row r="44" spans="1:14" x14ac:dyDescent="0.3">
      <c r="B44" s="1">
        <v>103.532</v>
      </c>
      <c r="C44" s="1">
        <v>67.102000000000004</v>
      </c>
      <c r="D44" s="1">
        <v>69.174999999999997</v>
      </c>
      <c r="E44" s="1">
        <v>38.65</v>
      </c>
      <c r="F44" s="1">
        <v>156.68899999999999</v>
      </c>
      <c r="G44" s="1">
        <v>88.194999999999993</v>
      </c>
      <c r="H44" s="1">
        <v>81.358000000000004</v>
      </c>
      <c r="I44" s="1">
        <v>73.789000000000001</v>
      </c>
      <c r="J44" s="1">
        <v>80.185000000000002</v>
      </c>
      <c r="K44" s="1">
        <v>142.876</v>
      </c>
      <c r="N44" t="s">
        <v>98</v>
      </c>
    </row>
    <row r="45" spans="1:14" x14ac:dyDescent="0.3">
      <c r="B45" s="1">
        <v>105.434</v>
      </c>
      <c r="C45" s="1">
        <v>102.336</v>
      </c>
      <c r="D45" s="1">
        <v>55.966999999999999</v>
      </c>
      <c r="E45" s="1">
        <v>149.80500000000001</v>
      </c>
      <c r="F45" s="1">
        <v>175.499</v>
      </c>
      <c r="G45" s="1">
        <v>74.793000000000006</v>
      </c>
      <c r="H45" s="1">
        <v>81.691999999999993</v>
      </c>
      <c r="I45" s="1">
        <v>52.558999999999997</v>
      </c>
      <c r="J45" s="1">
        <v>214.76</v>
      </c>
      <c r="K45" s="1">
        <v>40.433999999999997</v>
      </c>
      <c r="N45" t="s">
        <v>117</v>
      </c>
    </row>
    <row r="46" spans="1:14" x14ac:dyDescent="0.3">
      <c r="B46" s="1">
        <v>37.281999999999996</v>
      </c>
      <c r="C46" s="1">
        <v>109.672</v>
      </c>
      <c r="D46" s="1">
        <v>106.149</v>
      </c>
      <c r="E46" s="1">
        <v>160.40299999999999</v>
      </c>
      <c r="F46" s="1">
        <v>35.414999999999999</v>
      </c>
      <c r="G46" s="1">
        <v>79.158000000000001</v>
      </c>
      <c r="H46" s="1">
        <v>144.62899999999999</v>
      </c>
      <c r="I46" s="1">
        <v>58.222000000000001</v>
      </c>
      <c r="J46" s="1">
        <v>60.241</v>
      </c>
      <c r="K46" s="1">
        <v>76.707999999999998</v>
      </c>
      <c r="N46" t="s">
        <v>96</v>
      </c>
    </row>
    <row r="47" spans="1:14" x14ac:dyDescent="0.3">
      <c r="B47" s="1">
        <v>94.251999999999995</v>
      </c>
      <c r="C47" s="1">
        <v>77.242999999999995</v>
      </c>
      <c r="D47" s="1">
        <v>92.516999999999996</v>
      </c>
      <c r="E47" s="1">
        <v>129.71</v>
      </c>
      <c r="F47" s="1">
        <v>140.06399999999999</v>
      </c>
      <c r="G47" s="1">
        <v>245.22300000000001</v>
      </c>
      <c r="H47" s="1">
        <v>98.352000000000004</v>
      </c>
      <c r="I47" s="1">
        <v>48.517000000000003</v>
      </c>
      <c r="J47" s="1">
        <v>357.09399999999999</v>
      </c>
      <c r="K47" s="1">
        <v>176.38399999999999</v>
      </c>
      <c r="N47" t="s">
        <v>118</v>
      </c>
    </row>
    <row r="48" spans="1:14" x14ac:dyDescent="0.3">
      <c r="B48" s="1">
        <v>59.009</v>
      </c>
      <c r="C48" s="1">
        <v>64.277000000000001</v>
      </c>
      <c r="D48" s="1">
        <v>99.777000000000001</v>
      </c>
      <c r="E48" s="1">
        <v>40.142000000000003</v>
      </c>
      <c r="F48" s="1">
        <v>79.77</v>
      </c>
      <c r="G48" s="1">
        <v>59.247</v>
      </c>
      <c r="H48" s="1">
        <v>64.989000000000004</v>
      </c>
      <c r="I48" s="1">
        <v>199.52099999999999</v>
      </c>
      <c r="J48" s="1">
        <v>57.066000000000003</v>
      </c>
      <c r="K48" s="1">
        <v>180.04</v>
      </c>
      <c r="N48" t="s">
        <v>94</v>
      </c>
    </row>
    <row r="49" spans="1:14" x14ac:dyDescent="0.3">
      <c r="A49" s="1" t="s">
        <v>45</v>
      </c>
      <c r="B49" s="1">
        <f>AVERAGE(B39:B48)/13</f>
        <v>9.5129846153846138</v>
      </c>
      <c r="C49" s="1">
        <f t="shared" ref="C49:K49" si="3">AVERAGE(C39:C48)/13</f>
        <v>11.181338461538463</v>
      </c>
      <c r="D49" s="1">
        <f t="shared" si="3"/>
        <v>10.884523076923077</v>
      </c>
      <c r="E49" s="1">
        <f t="shared" si="3"/>
        <v>10.073476923076925</v>
      </c>
      <c r="F49" s="1">
        <f t="shared" si="3"/>
        <v>11.080338461538462</v>
      </c>
      <c r="G49" s="1">
        <f t="shared" si="3"/>
        <v>10.737307692307692</v>
      </c>
      <c r="H49" s="1">
        <f t="shared" si="3"/>
        <v>7.5887307692307697</v>
      </c>
      <c r="I49" s="1">
        <f t="shared" si="3"/>
        <v>8.3686461538461536</v>
      </c>
      <c r="J49" s="1">
        <f t="shared" si="3"/>
        <v>15.8795</v>
      </c>
      <c r="K49" s="1">
        <f t="shared" si="3"/>
        <v>11.314753846153847</v>
      </c>
      <c r="L49" s="1">
        <f>AVERAGE(B49:K49)</f>
        <v>10.66216</v>
      </c>
      <c r="M49" s="1">
        <f>_xlfn.STDEV.P(B49:K49)</f>
        <v>2.1099609533496997</v>
      </c>
    </row>
    <row r="50" spans="1:14" x14ac:dyDescent="0.3">
      <c r="B50" s="1" t="s">
        <v>48</v>
      </c>
      <c r="C50" s="1" t="s">
        <v>49</v>
      </c>
      <c r="D50" s="1" t="s">
        <v>50</v>
      </c>
      <c r="E50" s="1" t="s">
        <v>51</v>
      </c>
      <c r="F50" s="1" t="s">
        <v>52</v>
      </c>
      <c r="G50" s="1" t="s">
        <v>53</v>
      </c>
      <c r="H50" s="1" t="s">
        <v>54</v>
      </c>
      <c r="I50" s="1" t="s">
        <v>55</v>
      </c>
      <c r="J50" s="1" t="s">
        <v>56</v>
      </c>
      <c r="K50" s="1" t="s">
        <v>57</v>
      </c>
      <c r="N50" t="s">
        <v>98</v>
      </c>
    </row>
    <row r="51" spans="1:14" x14ac:dyDescent="0.3">
      <c r="B51" s="1">
        <v>104.333</v>
      </c>
      <c r="C51" s="1">
        <v>352.91300000000001</v>
      </c>
      <c r="D51" s="1">
        <v>137.05699999999999</v>
      </c>
      <c r="E51" s="1">
        <v>54.293999999999997</v>
      </c>
      <c r="F51" s="1">
        <v>342.95100000000002</v>
      </c>
      <c r="G51" s="1">
        <v>297.67399999999998</v>
      </c>
      <c r="H51" s="1">
        <v>302.221</v>
      </c>
      <c r="I51" s="1">
        <v>327.28699999999998</v>
      </c>
      <c r="J51" s="1">
        <v>179.48599999999999</v>
      </c>
      <c r="K51" s="1">
        <v>256.73399999999998</v>
      </c>
      <c r="N51" t="s">
        <v>120</v>
      </c>
    </row>
    <row r="52" spans="1:14" x14ac:dyDescent="0.3">
      <c r="B52" s="1">
        <v>191.59100000000001</v>
      </c>
      <c r="C52" s="1">
        <v>31.940999999999999</v>
      </c>
      <c r="D52" s="1">
        <v>81.144000000000005</v>
      </c>
      <c r="E52" s="1">
        <v>116.173</v>
      </c>
      <c r="F52" s="1">
        <v>74.346000000000004</v>
      </c>
      <c r="G52" s="1">
        <v>96.224000000000004</v>
      </c>
      <c r="H52" s="1">
        <v>162.983</v>
      </c>
      <c r="I52" s="1">
        <v>99.352999999999994</v>
      </c>
      <c r="J52" s="1">
        <v>81.284000000000006</v>
      </c>
      <c r="K52" s="1">
        <v>131.441</v>
      </c>
      <c r="N52" t="s">
        <v>96</v>
      </c>
    </row>
    <row r="53" spans="1:14" x14ac:dyDescent="0.3">
      <c r="B53" s="1">
        <v>100.446</v>
      </c>
      <c r="C53" s="1">
        <v>43.679000000000002</v>
      </c>
      <c r="D53" s="1">
        <v>129.352</v>
      </c>
      <c r="E53" s="1">
        <v>107.48399999999999</v>
      </c>
      <c r="F53" s="1">
        <v>173.09299999999999</v>
      </c>
      <c r="G53" s="1">
        <v>72.304000000000002</v>
      </c>
      <c r="H53" s="1">
        <v>59.625999999999998</v>
      </c>
      <c r="I53" s="1">
        <v>204.321</v>
      </c>
      <c r="J53" s="1">
        <v>185.18700000000001</v>
      </c>
      <c r="K53" s="1">
        <v>136.55799999999999</v>
      </c>
      <c r="N53" t="s">
        <v>121</v>
      </c>
    </row>
    <row r="54" spans="1:14" x14ac:dyDescent="0.3">
      <c r="B54" s="1">
        <v>76.397999999999996</v>
      </c>
      <c r="C54" s="1">
        <v>121.34699999999999</v>
      </c>
      <c r="D54" s="1">
        <v>44.875999999999998</v>
      </c>
      <c r="E54" s="1">
        <v>93.269000000000005</v>
      </c>
      <c r="F54" s="1">
        <v>59.585999999999999</v>
      </c>
      <c r="G54" s="1">
        <v>79.531000000000006</v>
      </c>
      <c r="H54" s="1">
        <v>75.462999999999994</v>
      </c>
      <c r="I54" s="1">
        <v>143.553</v>
      </c>
      <c r="J54" s="1">
        <v>150.69900000000001</v>
      </c>
      <c r="K54" s="1">
        <v>288.69600000000003</v>
      </c>
      <c r="N54" t="s">
        <v>94</v>
      </c>
    </row>
    <row r="55" spans="1:14" x14ac:dyDescent="0.3">
      <c r="B55" s="1">
        <v>125.913</v>
      </c>
      <c r="C55" s="1">
        <v>104.715</v>
      </c>
      <c r="D55" s="1">
        <v>53.643000000000001</v>
      </c>
      <c r="E55" s="1">
        <v>104.56399999999999</v>
      </c>
      <c r="F55" s="1">
        <v>112.80800000000001</v>
      </c>
      <c r="G55" s="1">
        <v>56.749000000000002</v>
      </c>
      <c r="H55" s="1">
        <v>106.31399999999999</v>
      </c>
      <c r="I55" s="1">
        <v>74.933000000000007</v>
      </c>
      <c r="J55" s="1">
        <v>43.417000000000002</v>
      </c>
      <c r="K55" s="1">
        <v>65.149000000000001</v>
      </c>
    </row>
    <row r="56" spans="1:14" x14ac:dyDescent="0.3">
      <c r="B56" s="1">
        <v>74.942999999999998</v>
      </c>
      <c r="C56" s="1">
        <v>104.536</v>
      </c>
      <c r="D56" s="1">
        <v>118.97799999999999</v>
      </c>
      <c r="E56" s="1">
        <v>108.20399999999999</v>
      </c>
      <c r="F56" s="1">
        <v>49.948999999999998</v>
      </c>
      <c r="G56" s="1">
        <v>131.55799999999999</v>
      </c>
      <c r="H56" s="1">
        <v>89.694999999999993</v>
      </c>
      <c r="I56" s="1">
        <v>123.515</v>
      </c>
      <c r="J56" s="1">
        <v>39.92</v>
      </c>
      <c r="K56" s="1">
        <v>54.037999999999997</v>
      </c>
      <c r="N56" t="s">
        <v>98</v>
      </c>
    </row>
    <row r="57" spans="1:14" x14ac:dyDescent="0.3">
      <c r="B57" s="1">
        <v>114.119</v>
      </c>
      <c r="C57" s="1">
        <v>56.027000000000001</v>
      </c>
      <c r="D57" s="1">
        <v>115.315</v>
      </c>
      <c r="E57" s="1">
        <v>79.430000000000007</v>
      </c>
      <c r="F57" s="1">
        <v>170.65700000000001</v>
      </c>
      <c r="G57" s="1">
        <v>96.697999999999993</v>
      </c>
      <c r="H57" s="1">
        <v>104.253</v>
      </c>
      <c r="I57" s="1">
        <v>168.84100000000001</v>
      </c>
      <c r="J57" s="1">
        <v>131.452</v>
      </c>
      <c r="K57" s="1">
        <v>67.858999999999995</v>
      </c>
      <c r="N57" t="s">
        <v>123</v>
      </c>
    </row>
    <row r="58" spans="1:14" x14ac:dyDescent="0.3">
      <c r="B58" s="1">
        <v>73.778999999999996</v>
      </c>
      <c r="C58" s="1">
        <v>40.378999999999998</v>
      </c>
      <c r="D58" s="1">
        <v>86.76</v>
      </c>
      <c r="E58" s="1">
        <v>241.02600000000001</v>
      </c>
      <c r="F58" s="1">
        <v>196.32599999999999</v>
      </c>
      <c r="G58" s="1">
        <v>73.548000000000002</v>
      </c>
      <c r="H58" s="1">
        <v>97.814999999999998</v>
      </c>
      <c r="I58" s="1">
        <v>196.32</v>
      </c>
      <c r="J58" s="1">
        <v>65.662999999999997</v>
      </c>
      <c r="K58" s="1">
        <v>56.884999999999998</v>
      </c>
      <c r="N58" t="s">
        <v>96</v>
      </c>
    </row>
    <row r="59" spans="1:14" x14ac:dyDescent="0.3">
      <c r="B59" s="1">
        <v>164.61699999999999</v>
      </c>
      <c r="C59" s="1">
        <v>47.709000000000003</v>
      </c>
      <c r="D59" s="1">
        <v>76.444999999999993</v>
      </c>
      <c r="E59" s="1">
        <v>84.971000000000004</v>
      </c>
      <c r="F59" s="1">
        <v>194.64400000000001</v>
      </c>
      <c r="G59" s="1">
        <v>149.584</v>
      </c>
      <c r="H59" s="1">
        <v>105.913</v>
      </c>
      <c r="I59" s="1">
        <v>96.403000000000006</v>
      </c>
      <c r="J59" s="1">
        <v>185.12299999999999</v>
      </c>
      <c r="K59" s="1">
        <v>58.927</v>
      </c>
      <c r="N59" t="s">
        <v>124</v>
      </c>
    </row>
    <row r="60" spans="1:14" x14ac:dyDescent="0.3">
      <c r="B60" s="1">
        <v>63.101999999999997</v>
      </c>
      <c r="C60" s="1">
        <v>86.292000000000002</v>
      </c>
      <c r="D60" s="1">
        <v>208.739</v>
      </c>
      <c r="E60" s="1">
        <v>68.804000000000002</v>
      </c>
      <c r="F60" s="1">
        <v>94.968000000000004</v>
      </c>
      <c r="G60" s="1">
        <v>49.649000000000001</v>
      </c>
      <c r="H60" s="1">
        <v>116.006</v>
      </c>
      <c r="I60" s="1">
        <v>176.547</v>
      </c>
      <c r="J60" s="1">
        <v>76.397000000000006</v>
      </c>
      <c r="K60" s="1">
        <v>60.401000000000003</v>
      </c>
      <c r="N60" t="s">
        <v>94</v>
      </c>
    </row>
    <row r="61" spans="1:14" x14ac:dyDescent="0.3">
      <c r="A61" s="1" t="s">
        <v>46</v>
      </c>
      <c r="B61" s="1">
        <f>AVERAGE(B51:B60)/15</f>
        <v>7.2616066666666681</v>
      </c>
      <c r="C61" s="1">
        <f t="shared" ref="C61:K61" si="4">AVERAGE(C51:C60)/15</f>
        <v>6.5969200000000008</v>
      </c>
      <c r="D61" s="1">
        <f t="shared" si="4"/>
        <v>7.0153933333333329</v>
      </c>
      <c r="E61" s="1">
        <f t="shared" si="4"/>
        <v>7.0547933333333335</v>
      </c>
      <c r="F61" s="1">
        <f t="shared" si="4"/>
        <v>9.7955199999999998</v>
      </c>
      <c r="G61" s="1">
        <f t="shared" si="4"/>
        <v>7.3567933333333313</v>
      </c>
      <c r="H61" s="1">
        <f t="shared" si="4"/>
        <v>8.1352599999999988</v>
      </c>
      <c r="I61" s="1">
        <f t="shared" si="4"/>
        <v>10.740486666666666</v>
      </c>
      <c r="J61" s="1">
        <f t="shared" si="4"/>
        <v>7.5908533333333326</v>
      </c>
      <c r="K61" s="1">
        <f t="shared" si="4"/>
        <v>7.8445866666666673</v>
      </c>
      <c r="L61" s="1">
        <f>AVERAGE(B61:K61)</f>
        <v>7.9392213333333332</v>
      </c>
      <c r="M61" s="1">
        <f>_xlfn.STDEV.P(B61:K61)</f>
        <v>1.2528969347832755</v>
      </c>
    </row>
    <row r="62" spans="1:14" x14ac:dyDescent="0.3">
      <c r="B62" s="1" t="s">
        <v>58</v>
      </c>
      <c r="C62" s="1" t="s">
        <v>59</v>
      </c>
      <c r="D62" s="1" t="s">
        <v>60</v>
      </c>
      <c r="E62" s="1" t="s">
        <v>61</v>
      </c>
      <c r="F62" s="1" t="s">
        <v>62</v>
      </c>
      <c r="G62" s="1" t="s">
        <v>63</v>
      </c>
      <c r="H62" s="1" t="s">
        <v>64</v>
      </c>
      <c r="I62" s="1" t="s">
        <v>65</v>
      </c>
      <c r="J62" s="1" t="s">
        <v>66</v>
      </c>
      <c r="K62" s="1" t="s">
        <v>67</v>
      </c>
      <c r="N62" t="s">
        <v>98</v>
      </c>
    </row>
    <row r="63" spans="1:14" x14ac:dyDescent="0.3">
      <c r="B63" s="1">
        <v>119.039</v>
      </c>
      <c r="C63" s="1">
        <v>438.53800000000001</v>
      </c>
      <c r="D63" s="1">
        <v>359.40800000000002</v>
      </c>
      <c r="E63" s="1">
        <v>768.55499999999995</v>
      </c>
      <c r="F63" s="1">
        <v>215.81899999999999</v>
      </c>
      <c r="G63" s="1">
        <v>228.762</v>
      </c>
      <c r="H63" s="1">
        <v>164.76300000000001</v>
      </c>
      <c r="I63" s="1">
        <v>284.82100000000003</v>
      </c>
      <c r="J63" s="1">
        <v>740.29700000000003</v>
      </c>
      <c r="K63" s="1">
        <v>304.10899999999998</v>
      </c>
      <c r="N63" t="s">
        <v>126</v>
      </c>
    </row>
    <row r="64" spans="1:14" x14ac:dyDescent="0.3">
      <c r="B64" s="1">
        <v>82.781999999999996</v>
      </c>
      <c r="C64" s="1">
        <v>147.29499999999999</v>
      </c>
      <c r="D64" s="1">
        <v>68.769000000000005</v>
      </c>
      <c r="E64" s="1">
        <v>238.05</v>
      </c>
      <c r="F64" s="1">
        <v>217.60300000000001</v>
      </c>
      <c r="G64" s="1">
        <v>61.052999999999997</v>
      </c>
      <c r="H64" s="1">
        <v>170.672</v>
      </c>
      <c r="I64" s="1">
        <v>163.33099999999999</v>
      </c>
      <c r="J64" s="1">
        <v>101.072</v>
      </c>
      <c r="K64" s="1">
        <v>160.21100000000001</v>
      </c>
      <c r="N64" t="s">
        <v>33</v>
      </c>
    </row>
    <row r="65" spans="1:13" x14ac:dyDescent="0.3">
      <c r="B65" s="1">
        <v>91.725999999999999</v>
      </c>
      <c r="C65" s="1">
        <v>66.650999999999996</v>
      </c>
      <c r="D65" s="1">
        <v>309.34699999999998</v>
      </c>
      <c r="E65" s="1">
        <v>151.434</v>
      </c>
      <c r="F65" s="1">
        <v>114.539</v>
      </c>
      <c r="G65" s="1">
        <v>128.75700000000001</v>
      </c>
      <c r="H65" s="1">
        <v>103.476</v>
      </c>
      <c r="I65" s="1">
        <v>57.226999999999997</v>
      </c>
      <c r="J65" s="1">
        <v>190.88900000000001</v>
      </c>
      <c r="K65" s="1">
        <v>128.01499999999999</v>
      </c>
    </row>
    <row r="66" spans="1:13" x14ac:dyDescent="0.3">
      <c r="B66" s="1">
        <v>68.561000000000007</v>
      </c>
      <c r="C66" s="1">
        <v>98.96</v>
      </c>
      <c r="D66" s="1">
        <v>295.976</v>
      </c>
      <c r="E66" s="1">
        <v>174.21100000000001</v>
      </c>
      <c r="F66" s="1">
        <v>141.965</v>
      </c>
      <c r="G66" s="1">
        <v>210.83500000000001</v>
      </c>
      <c r="H66" s="1">
        <v>113.158</v>
      </c>
      <c r="I66" s="1">
        <v>141.417</v>
      </c>
      <c r="J66" s="1">
        <v>223.15</v>
      </c>
      <c r="K66" s="1">
        <v>54.713999999999999</v>
      </c>
    </row>
    <row r="67" spans="1:13" x14ac:dyDescent="0.3">
      <c r="B67" s="1">
        <v>155.233</v>
      </c>
      <c r="C67" s="1">
        <v>77.793000000000006</v>
      </c>
      <c r="D67" s="1">
        <v>102.226</v>
      </c>
      <c r="E67" s="1">
        <v>329.875</v>
      </c>
      <c r="F67" s="1">
        <v>101.11799999999999</v>
      </c>
      <c r="G67" s="1">
        <v>231.41300000000001</v>
      </c>
      <c r="H67" s="1">
        <v>166.98</v>
      </c>
      <c r="I67" s="1">
        <v>133.626</v>
      </c>
      <c r="J67" s="1">
        <v>155.422</v>
      </c>
      <c r="K67" s="1">
        <v>67.656999999999996</v>
      </c>
    </row>
    <row r="68" spans="1:13" x14ac:dyDescent="0.3">
      <c r="B68" s="1">
        <v>80.956999999999994</v>
      </c>
      <c r="C68" s="1">
        <v>149.46199999999999</v>
      </c>
      <c r="D68" s="1">
        <v>113.52500000000001</v>
      </c>
      <c r="E68" s="1">
        <v>69.242999999999995</v>
      </c>
      <c r="F68" s="1">
        <v>190.416</v>
      </c>
      <c r="G68" s="1">
        <v>113.482</v>
      </c>
      <c r="H68" s="1">
        <v>154.64099999999999</v>
      </c>
      <c r="I68" s="1">
        <v>83.411000000000001</v>
      </c>
      <c r="J68" s="1">
        <v>154.29499999999999</v>
      </c>
      <c r="K68" s="1">
        <v>234.47800000000001</v>
      </c>
    </row>
    <row r="69" spans="1:13" x14ac:dyDescent="0.3">
      <c r="B69" s="1">
        <v>269.20499999999998</v>
      </c>
      <c r="C69" s="1">
        <v>108.48099999999999</v>
      </c>
      <c r="D69" s="1">
        <v>218.679</v>
      </c>
      <c r="E69" s="1">
        <v>62.765999999999998</v>
      </c>
      <c r="F69" s="1">
        <v>94.337000000000003</v>
      </c>
      <c r="G69" s="1">
        <v>55.036999999999999</v>
      </c>
      <c r="H69" s="1">
        <v>95.22</v>
      </c>
      <c r="I69" s="1">
        <v>110.44499999999999</v>
      </c>
      <c r="J69" s="1">
        <v>139.03800000000001</v>
      </c>
      <c r="K69" s="1">
        <v>169.38</v>
      </c>
    </row>
    <row r="70" spans="1:13" x14ac:dyDescent="0.3">
      <c r="B70" s="1">
        <v>76.02</v>
      </c>
      <c r="C70" s="1">
        <v>101.038</v>
      </c>
      <c r="D70" s="1">
        <v>158.666</v>
      </c>
      <c r="E70" s="1">
        <v>149.334</v>
      </c>
      <c r="F70" s="1">
        <v>77.710999999999999</v>
      </c>
      <c r="G70" s="1">
        <v>193.52500000000001</v>
      </c>
      <c r="H70" s="1">
        <v>139.97</v>
      </c>
      <c r="I70" s="1">
        <v>305.77999999999997</v>
      </c>
      <c r="J70" s="1">
        <v>92.165999999999997</v>
      </c>
      <c r="K70" s="1">
        <v>143.39400000000001</v>
      </c>
    </row>
    <row r="71" spans="1:13" x14ac:dyDescent="0.3">
      <c r="B71" s="1">
        <v>113.08799999999999</v>
      </c>
      <c r="C71" s="1">
        <v>178.804</v>
      </c>
      <c r="D71" s="1">
        <v>55.523000000000003</v>
      </c>
      <c r="E71" s="1">
        <v>217.82499999999999</v>
      </c>
      <c r="F71" s="1">
        <v>51.764000000000003</v>
      </c>
      <c r="G71" s="1">
        <v>86.787000000000006</v>
      </c>
      <c r="H71" s="1">
        <v>146.22800000000001</v>
      </c>
      <c r="I71" s="1">
        <v>250.923</v>
      </c>
      <c r="J71" s="1">
        <v>215.35599999999999</v>
      </c>
      <c r="K71" s="1">
        <v>128.417</v>
      </c>
    </row>
    <row r="72" spans="1:13" x14ac:dyDescent="0.3">
      <c r="B72" s="1">
        <v>209.67599999999999</v>
      </c>
      <c r="C72" s="1">
        <v>109.426</v>
      </c>
      <c r="D72" s="1">
        <v>71.498000000000005</v>
      </c>
      <c r="E72" s="1">
        <v>77.335999999999999</v>
      </c>
      <c r="F72" s="1">
        <v>85.762</v>
      </c>
      <c r="G72" s="1">
        <v>85.165000000000006</v>
      </c>
      <c r="H72" s="1">
        <v>259.411</v>
      </c>
      <c r="I72" s="1">
        <v>269.91699999999997</v>
      </c>
      <c r="J72" s="1">
        <v>116.095</v>
      </c>
      <c r="K72" s="1">
        <v>112.08199999999999</v>
      </c>
    </row>
    <row r="73" spans="1:13" x14ac:dyDescent="0.3">
      <c r="A73" s="1" t="s">
        <v>47</v>
      </c>
      <c r="B73" s="1">
        <f>AVERAGE(B63:B72)/17</f>
        <v>7.4487470588235301</v>
      </c>
      <c r="C73" s="1">
        <f t="shared" ref="C73:K73" si="5">AVERAGE(C63:C72)/17</f>
        <v>8.6849882352941155</v>
      </c>
      <c r="D73" s="1">
        <f t="shared" si="5"/>
        <v>10.31539411764706</v>
      </c>
      <c r="E73" s="1">
        <f t="shared" si="5"/>
        <v>13.168405882352941</v>
      </c>
      <c r="F73" s="1">
        <f t="shared" si="5"/>
        <v>7.5943176470588227</v>
      </c>
      <c r="G73" s="1">
        <f t="shared" si="5"/>
        <v>8.2048000000000005</v>
      </c>
      <c r="H73" s="1">
        <f t="shared" si="5"/>
        <v>8.9089352941176472</v>
      </c>
      <c r="I73" s="1">
        <f t="shared" si="5"/>
        <v>10.593517647058823</v>
      </c>
      <c r="J73" s="1">
        <f t="shared" si="5"/>
        <v>12.516352941176471</v>
      </c>
      <c r="K73" s="1">
        <f t="shared" si="5"/>
        <v>8.837982352941177</v>
      </c>
      <c r="L73" s="1">
        <f>AVERAGE(B73:K73)</f>
        <v>9.6273441176470573</v>
      </c>
      <c r="M73" s="1">
        <f>_xlfn.STDEV.P(B73:K73)</f>
        <v>1.8767723857494856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73"/>
  <sheetViews>
    <sheetView tabSelected="1" topLeftCell="A49" workbookViewId="0">
      <selection activeCell="Q15" sqref="Q15"/>
    </sheetView>
  </sheetViews>
  <sheetFormatPr defaultRowHeight="14.4" x14ac:dyDescent="0.3"/>
  <cols>
    <col min="1" max="1" width="8.88671875" style="1"/>
    <col min="2" max="2" width="11" style="1" bestFit="1" customWidth="1"/>
    <col min="3" max="13" width="8.88671875" style="1"/>
  </cols>
  <sheetData>
    <row r="1" spans="1:14" x14ac:dyDescent="0.3">
      <c r="B1" s="1" t="s">
        <v>131</v>
      </c>
      <c r="L1" s="1" t="s">
        <v>127</v>
      </c>
      <c r="M1" s="1" t="s">
        <v>128</v>
      </c>
      <c r="N1" s="1" t="s">
        <v>58</v>
      </c>
    </row>
    <row r="2" spans="1:14" x14ac:dyDescent="0.3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N2" t="s">
        <v>68</v>
      </c>
    </row>
    <row r="3" spans="1:14" x14ac:dyDescent="0.3">
      <c r="B3" s="1">
        <v>206.834</v>
      </c>
      <c r="C3" s="1">
        <v>199.08199999999999</v>
      </c>
      <c r="D3" s="1">
        <v>122.108</v>
      </c>
      <c r="E3" s="1">
        <v>113.527</v>
      </c>
      <c r="F3" s="1">
        <v>98.573999999999998</v>
      </c>
      <c r="G3" s="1">
        <v>319.22800000000001</v>
      </c>
      <c r="H3" s="1">
        <v>60.75</v>
      </c>
      <c r="I3" s="1">
        <v>95.503</v>
      </c>
      <c r="J3" s="1">
        <v>212.65199999999999</v>
      </c>
      <c r="K3" s="1">
        <v>35.08</v>
      </c>
      <c r="N3" t="s">
        <v>69</v>
      </c>
    </row>
    <row r="4" spans="1:14" x14ac:dyDescent="0.3">
      <c r="B4" s="1">
        <v>85.980999999999995</v>
      </c>
      <c r="C4" s="1">
        <v>89.554000000000002</v>
      </c>
      <c r="D4" s="1">
        <v>63.914999999999999</v>
      </c>
      <c r="E4" s="1">
        <v>24.727</v>
      </c>
      <c r="F4" s="1">
        <v>44.703000000000003</v>
      </c>
      <c r="G4" s="1">
        <v>139.60599999999999</v>
      </c>
      <c r="H4" s="1">
        <v>39.189</v>
      </c>
      <c r="I4" s="1">
        <v>41.289000000000001</v>
      </c>
      <c r="J4" s="1">
        <v>35.344999999999999</v>
      </c>
      <c r="K4" s="1">
        <v>52.273000000000003</v>
      </c>
      <c r="N4" t="s">
        <v>70</v>
      </c>
    </row>
    <row r="5" spans="1:14" x14ac:dyDescent="0.3">
      <c r="B5" s="1">
        <v>20.295000000000002</v>
      </c>
      <c r="C5" s="1">
        <v>16.527999999999999</v>
      </c>
      <c r="D5" s="1">
        <v>111.758</v>
      </c>
      <c r="E5" s="1">
        <v>27.38</v>
      </c>
      <c r="F5" s="1">
        <v>40.619999999999997</v>
      </c>
      <c r="G5" s="1">
        <v>44.561</v>
      </c>
      <c r="H5" s="1">
        <v>72.591999999999999</v>
      </c>
      <c r="I5" s="1">
        <v>63.593000000000004</v>
      </c>
      <c r="J5" s="1">
        <v>35.752000000000002</v>
      </c>
      <c r="K5" s="1">
        <v>55.646999999999998</v>
      </c>
      <c r="N5" t="s">
        <v>71</v>
      </c>
    </row>
    <row r="6" spans="1:14" x14ac:dyDescent="0.3">
      <c r="B6" s="1">
        <v>38.442</v>
      </c>
      <c r="C6" s="1">
        <v>41.073999999999998</v>
      </c>
      <c r="D6" s="1">
        <v>41.914999999999999</v>
      </c>
      <c r="E6" s="1">
        <v>21.353000000000002</v>
      </c>
      <c r="F6" s="1">
        <v>123.84</v>
      </c>
      <c r="G6" s="1">
        <v>66.820999999999998</v>
      </c>
      <c r="H6" s="1">
        <v>50.481999999999999</v>
      </c>
      <c r="I6" s="1">
        <v>18.681000000000001</v>
      </c>
      <c r="J6" s="1">
        <v>117.298</v>
      </c>
      <c r="K6" s="1">
        <v>41.47</v>
      </c>
      <c r="N6" t="s">
        <v>72</v>
      </c>
    </row>
    <row r="7" spans="1:14" x14ac:dyDescent="0.3">
      <c r="B7" s="1">
        <v>50.491999999999997</v>
      </c>
      <c r="C7" s="1">
        <v>38.356000000000002</v>
      </c>
      <c r="D7" s="1">
        <v>41.210999999999999</v>
      </c>
      <c r="E7" s="1">
        <v>20.648</v>
      </c>
      <c r="F7" s="1">
        <v>20.443000000000001</v>
      </c>
      <c r="G7" s="1">
        <v>25.062999999999999</v>
      </c>
      <c r="H7" s="1">
        <v>47.128</v>
      </c>
      <c r="I7" s="1">
        <v>57.506</v>
      </c>
      <c r="J7" s="1">
        <v>17.013999999999999</v>
      </c>
      <c r="K7" s="1">
        <v>51.515999999999998</v>
      </c>
    </row>
    <row r="8" spans="1:14" x14ac:dyDescent="0.3">
      <c r="B8" s="1">
        <v>26.030999999999999</v>
      </c>
      <c r="C8" s="1">
        <v>42.677</v>
      </c>
      <c r="D8" s="1">
        <v>73.206000000000003</v>
      </c>
      <c r="E8" s="1">
        <v>122.30800000000001</v>
      </c>
      <c r="F8" s="1">
        <v>44.841999999999999</v>
      </c>
      <c r="G8" s="1">
        <v>74.165999999999997</v>
      </c>
      <c r="H8" s="1">
        <v>34.868000000000002</v>
      </c>
      <c r="I8" s="1">
        <v>113.464</v>
      </c>
      <c r="J8" s="1">
        <v>56.011000000000003</v>
      </c>
      <c r="K8" s="1">
        <v>22.552</v>
      </c>
      <c r="N8" t="s">
        <v>73</v>
      </c>
    </row>
    <row r="9" spans="1:14" x14ac:dyDescent="0.3">
      <c r="B9" s="1">
        <v>46.987000000000002</v>
      </c>
      <c r="C9" s="1">
        <v>102.113</v>
      </c>
      <c r="D9" s="1">
        <v>83.091999999999999</v>
      </c>
      <c r="E9" s="1">
        <v>39.761000000000003</v>
      </c>
      <c r="F9" s="1">
        <v>40.906999999999996</v>
      </c>
      <c r="G9" s="1">
        <v>20.422000000000001</v>
      </c>
      <c r="H9" s="1">
        <v>19.103000000000002</v>
      </c>
      <c r="I9" s="1">
        <v>28.763000000000002</v>
      </c>
      <c r="J9" s="1">
        <v>34.103000000000002</v>
      </c>
      <c r="K9" s="1">
        <v>25.327999999999999</v>
      </c>
      <c r="N9" t="s">
        <v>74</v>
      </c>
    </row>
    <row r="10" spans="1:14" x14ac:dyDescent="0.3">
      <c r="B10" s="1">
        <v>110.655</v>
      </c>
      <c r="C10" s="1">
        <v>152.37100000000001</v>
      </c>
      <c r="D10" s="1">
        <v>52.48</v>
      </c>
      <c r="E10" s="1">
        <v>19.291</v>
      </c>
      <c r="F10" s="1">
        <v>46.585999999999999</v>
      </c>
      <c r="G10" s="1">
        <v>16.277000000000001</v>
      </c>
      <c r="H10" s="1">
        <v>21.373000000000001</v>
      </c>
      <c r="I10" s="1">
        <v>22.792999999999999</v>
      </c>
      <c r="J10" s="1">
        <v>60.185000000000002</v>
      </c>
      <c r="K10" s="1">
        <v>19.73</v>
      </c>
      <c r="N10" t="s">
        <v>72</v>
      </c>
    </row>
    <row r="11" spans="1:14" x14ac:dyDescent="0.3">
      <c r="B11" s="1">
        <v>117.14</v>
      </c>
      <c r="C11" s="1">
        <v>37.023000000000003</v>
      </c>
      <c r="D11" s="1">
        <v>106.786</v>
      </c>
      <c r="E11" s="1">
        <v>18.574000000000002</v>
      </c>
      <c r="F11" s="1">
        <v>66.415000000000006</v>
      </c>
      <c r="G11" s="1">
        <v>16.271999999999998</v>
      </c>
      <c r="H11" s="1">
        <v>19.428999999999998</v>
      </c>
      <c r="I11" s="1">
        <v>22.084</v>
      </c>
      <c r="J11" s="1">
        <v>51.722999999999999</v>
      </c>
      <c r="K11" s="1">
        <v>45.264000000000003</v>
      </c>
    </row>
    <row r="12" spans="1:14" x14ac:dyDescent="0.3">
      <c r="B12" s="1">
        <v>124.404</v>
      </c>
      <c r="C12" s="1">
        <v>17.992000000000001</v>
      </c>
      <c r="D12" s="1">
        <v>38.338999999999999</v>
      </c>
      <c r="E12" s="1">
        <v>17.398</v>
      </c>
      <c r="F12" s="1">
        <v>49.85</v>
      </c>
      <c r="G12" s="1">
        <v>16.553999999999998</v>
      </c>
      <c r="H12" s="1">
        <v>43.555</v>
      </c>
      <c r="I12" s="1">
        <v>22.036000000000001</v>
      </c>
      <c r="J12" s="1">
        <v>50.472000000000001</v>
      </c>
      <c r="K12" s="1">
        <v>20.247</v>
      </c>
      <c r="N12" t="s">
        <v>70</v>
      </c>
    </row>
    <row r="13" spans="1:14" x14ac:dyDescent="0.3">
      <c r="A13" s="2" t="s">
        <v>11</v>
      </c>
      <c r="B13" s="1">
        <f xml:space="preserve"> AVERAGE(B3:B12)/5</f>
        <v>16.54522</v>
      </c>
      <c r="C13" s="1">
        <f t="shared" ref="C13:K13" si="0" xml:space="preserve"> AVERAGE(C3:C12)/5</f>
        <v>14.735399999999998</v>
      </c>
      <c r="D13" s="1">
        <f t="shared" si="0"/>
        <v>14.696199999999999</v>
      </c>
      <c r="E13" s="1">
        <f t="shared" si="0"/>
        <v>8.4993400000000001</v>
      </c>
      <c r="F13" s="1">
        <f t="shared" si="0"/>
        <v>11.535599999999999</v>
      </c>
      <c r="G13" s="1">
        <f t="shared" si="0"/>
        <v>14.779400000000001</v>
      </c>
      <c r="H13" s="1">
        <f t="shared" si="0"/>
        <v>8.1693800000000003</v>
      </c>
      <c r="I13" s="1">
        <f t="shared" si="0"/>
        <v>9.7142400000000002</v>
      </c>
      <c r="J13" s="1">
        <f t="shared" si="0"/>
        <v>13.411099999999999</v>
      </c>
      <c r="K13" s="1">
        <f t="shared" si="0"/>
        <v>7.3821400000000015</v>
      </c>
      <c r="L13" s="1">
        <f>AVERAGE(B13:K13)</f>
        <v>11.946802000000002</v>
      </c>
      <c r="M13" s="1">
        <f>_xlfn.STDEV.P(B13:K13)</f>
        <v>3.1431221243146079</v>
      </c>
      <c r="N13" t="s">
        <v>75</v>
      </c>
    </row>
    <row r="14" spans="1:14" x14ac:dyDescent="0.3">
      <c r="B14" s="1" t="s">
        <v>12</v>
      </c>
      <c r="C14" s="1" t="s">
        <v>13</v>
      </c>
      <c r="D14" s="1" t="s">
        <v>14</v>
      </c>
      <c r="E14" s="1" t="s">
        <v>15</v>
      </c>
      <c r="F14" s="1" t="s">
        <v>16</v>
      </c>
      <c r="G14" s="1" t="s">
        <v>17</v>
      </c>
      <c r="H14" s="1" t="s">
        <v>18</v>
      </c>
      <c r="I14" s="1" t="s">
        <v>19</v>
      </c>
      <c r="J14" s="1" t="s">
        <v>20</v>
      </c>
      <c r="K14" s="1" t="s">
        <v>21</v>
      </c>
      <c r="N14" t="s">
        <v>73</v>
      </c>
    </row>
    <row r="15" spans="1:14" x14ac:dyDescent="0.3">
      <c r="B15" s="1">
        <v>233.554</v>
      </c>
      <c r="C15" s="1">
        <v>99.393000000000001</v>
      </c>
      <c r="D15" s="1">
        <v>626.827</v>
      </c>
      <c r="E15" s="1">
        <v>59.424999999999997</v>
      </c>
      <c r="F15" s="1">
        <v>177.577</v>
      </c>
      <c r="G15" s="1">
        <v>359.39299999999997</v>
      </c>
      <c r="H15" s="1">
        <v>297.58199999999999</v>
      </c>
      <c r="I15" s="1">
        <v>114.77200000000001</v>
      </c>
      <c r="J15" s="1">
        <v>168.13399999999999</v>
      </c>
      <c r="K15" s="1">
        <v>627.00599999999997</v>
      </c>
      <c r="N15" t="s">
        <v>76</v>
      </c>
    </row>
    <row r="16" spans="1:14" x14ac:dyDescent="0.3">
      <c r="B16" s="1">
        <v>119.306</v>
      </c>
      <c r="C16" s="1">
        <v>117.53100000000001</v>
      </c>
      <c r="D16" s="1">
        <v>236.184</v>
      </c>
      <c r="E16" s="1">
        <v>187.62299999999999</v>
      </c>
      <c r="F16" s="1">
        <v>19.652999999999999</v>
      </c>
      <c r="G16" s="1">
        <v>68.078000000000003</v>
      </c>
      <c r="H16" s="1">
        <v>127.536</v>
      </c>
      <c r="I16" s="1">
        <v>151.24</v>
      </c>
      <c r="J16" s="1">
        <v>107.68</v>
      </c>
      <c r="K16" s="1">
        <v>102.864</v>
      </c>
      <c r="N16" t="s">
        <v>72</v>
      </c>
    </row>
    <row r="17" spans="1:14" x14ac:dyDescent="0.3">
      <c r="B17" s="1">
        <v>101.991</v>
      </c>
      <c r="C17" s="1">
        <v>100.214</v>
      </c>
      <c r="D17" s="1">
        <v>51.777000000000001</v>
      </c>
      <c r="E17" s="1">
        <v>77.355000000000004</v>
      </c>
      <c r="F17" s="1">
        <v>166.24299999999999</v>
      </c>
      <c r="G17" s="1">
        <v>54.542000000000002</v>
      </c>
      <c r="H17" s="1">
        <v>57.701000000000001</v>
      </c>
      <c r="I17" s="1">
        <v>35.683</v>
      </c>
      <c r="J17" s="1">
        <v>52.139000000000003</v>
      </c>
      <c r="K17" s="1">
        <v>130.22499999999999</v>
      </c>
    </row>
    <row r="18" spans="1:14" x14ac:dyDescent="0.3">
      <c r="B18" s="1">
        <v>51.859000000000002</v>
      </c>
      <c r="C18" s="1">
        <v>48.814999999999998</v>
      </c>
      <c r="D18" s="1">
        <v>118.816</v>
      </c>
      <c r="E18" s="1">
        <v>69.227999999999994</v>
      </c>
      <c r="F18" s="1">
        <v>61.267000000000003</v>
      </c>
      <c r="G18" s="1">
        <v>21.71</v>
      </c>
      <c r="H18" s="1">
        <v>36.549999999999997</v>
      </c>
      <c r="I18" s="1">
        <v>90.832999999999998</v>
      </c>
      <c r="J18" s="1">
        <v>124.137</v>
      </c>
      <c r="K18" s="1">
        <v>169.417</v>
      </c>
      <c r="N18" t="s">
        <v>70</v>
      </c>
    </row>
    <row r="19" spans="1:14" x14ac:dyDescent="0.3">
      <c r="B19" s="1">
        <v>187.63399999999999</v>
      </c>
      <c r="C19" s="1">
        <v>51.462000000000003</v>
      </c>
      <c r="D19" s="1">
        <v>52.341000000000001</v>
      </c>
      <c r="E19" s="1">
        <v>110.744</v>
      </c>
      <c r="F19" s="1">
        <v>142.50299999999999</v>
      </c>
      <c r="G19" s="1">
        <v>72.757000000000005</v>
      </c>
      <c r="H19" s="1">
        <v>57.555</v>
      </c>
      <c r="I19" s="1">
        <v>51.935000000000002</v>
      </c>
      <c r="J19" s="1">
        <v>132.49799999999999</v>
      </c>
      <c r="K19" s="1">
        <v>31.382000000000001</v>
      </c>
      <c r="N19" t="s">
        <v>77</v>
      </c>
    </row>
    <row r="20" spans="1:14" x14ac:dyDescent="0.3">
      <c r="B20" s="1">
        <v>305.20299999999997</v>
      </c>
      <c r="C20" s="1">
        <v>94.197999999999993</v>
      </c>
      <c r="D20" s="1">
        <v>50.247999999999998</v>
      </c>
      <c r="E20" s="1">
        <v>27.545000000000002</v>
      </c>
      <c r="F20" s="1">
        <v>95.013000000000005</v>
      </c>
      <c r="G20" s="1">
        <v>32.072000000000003</v>
      </c>
      <c r="H20" s="1">
        <v>21.027000000000001</v>
      </c>
      <c r="I20" s="1">
        <v>96.040999999999997</v>
      </c>
      <c r="J20" s="1">
        <v>69.805000000000007</v>
      </c>
      <c r="K20" s="1">
        <v>41.343000000000004</v>
      </c>
      <c r="N20" t="s">
        <v>73</v>
      </c>
    </row>
    <row r="21" spans="1:14" x14ac:dyDescent="0.3">
      <c r="B21" s="1">
        <v>96.692999999999998</v>
      </c>
      <c r="C21" s="1">
        <v>99.18</v>
      </c>
      <c r="D21" s="1">
        <v>312.733</v>
      </c>
      <c r="E21" s="1">
        <v>25.571000000000002</v>
      </c>
      <c r="F21" s="1">
        <v>53.966999999999999</v>
      </c>
      <c r="G21" s="1">
        <v>82.727000000000004</v>
      </c>
      <c r="H21" s="1">
        <v>45.616999999999997</v>
      </c>
      <c r="I21" s="1">
        <v>54.249000000000002</v>
      </c>
      <c r="J21" s="1">
        <v>23.923999999999999</v>
      </c>
      <c r="K21" s="1">
        <v>56.902999999999999</v>
      </c>
      <c r="N21" t="s">
        <v>78</v>
      </c>
    </row>
    <row r="22" spans="1:14" x14ac:dyDescent="0.3">
      <c r="B22" s="1">
        <v>34.515000000000001</v>
      </c>
      <c r="C22" s="1">
        <v>229.64699999999999</v>
      </c>
      <c r="D22" s="1">
        <v>53.896999999999998</v>
      </c>
      <c r="E22" s="1">
        <v>90.096999999999994</v>
      </c>
      <c r="F22" s="1">
        <v>131.18299999999999</v>
      </c>
      <c r="G22" s="1">
        <v>330.024</v>
      </c>
      <c r="H22" s="1">
        <v>29.315999999999999</v>
      </c>
      <c r="I22" s="1">
        <v>134.114</v>
      </c>
      <c r="J22" s="1">
        <v>161.84100000000001</v>
      </c>
      <c r="K22" s="1">
        <v>124.783</v>
      </c>
      <c r="N22" t="s">
        <v>72</v>
      </c>
    </row>
    <row r="23" spans="1:14" x14ac:dyDescent="0.3">
      <c r="B23" s="1">
        <v>56.613999999999997</v>
      </c>
      <c r="C23" s="1">
        <v>235.81800000000001</v>
      </c>
      <c r="D23" s="1">
        <v>30.132999999999999</v>
      </c>
      <c r="E23" s="1">
        <v>26.945</v>
      </c>
      <c r="F23" s="1">
        <v>193.25899999999999</v>
      </c>
      <c r="G23" s="1">
        <v>191.57599999999999</v>
      </c>
      <c r="H23" s="1">
        <v>61.603999999999999</v>
      </c>
      <c r="I23" s="1">
        <v>15.874000000000001</v>
      </c>
      <c r="J23" s="1">
        <v>86.325999999999993</v>
      </c>
      <c r="K23" s="1">
        <v>40.715000000000003</v>
      </c>
    </row>
    <row r="24" spans="1:14" x14ac:dyDescent="0.3">
      <c r="B24" s="1">
        <v>35.548000000000002</v>
      </c>
      <c r="C24" s="1">
        <v>36.380000000000003</v>
      </c>
      <c r="D24" s="1">
        <v>39.064999999999998</v>
      </c>
      <c r="E24" s="1">
        <v>35.795999999999999</v>
      </c>
      <c r="F24" s="1">
        <v>276.01400000000001</v>
      </c>
      <c r="G24" s="1">
        <v>209.46600000000001</v>
      </c>
      <c r="H24" s="1">
        <v>40.793999999999997</v>
      </c>
      <c r="I24" s="1">
        <v>33.741</v>
      </c>
      <c r="J24" s="1">
        <v>43.241999999999997</v>
      </c>
      <c r="K24" s="1">
        <v>348.34500000000003</v>
      </c>
      <c r="N24" t="s">
        <v>70</v>
      </c>
    </row>
    <row r="25" spans="1:14" x14ac:dyDescent="0.3">
      <c r="A25" s="1" t="s">
        <v>22</v>
      </c>
      <c r="B25" s="1">
        <f>AVERAGE(B15:B24)/7</f>
        <v>17.470242857142861</v>
      </c>
      <c r="C25" s="1">
        <f t="shared" ref="C25:K25" si="1">AVERAGE(C15:C24)/7</f>
        <v>15.894828571428574</v>
      </c>
      <c r="D25" s="1">
        <f t="shared" si="1"/>
        <v>22.457442857142858</v>
      </c>
      <c r="E25" s="1">
        <f t="shared" si="1"/>
        <v>10.147557142857144</v>
      </c>
      <c r="F25" s="1">
        <f t="shared" si="1"/>
        <v>18.809699999999999</v>
      </c>
      <c r="G25" s="1">
        <f t="shared" si="1"/>
        <v>20.319214285714281</v>
      </c>
      <c r="H25" s="1">
        <f t="shared" si="1"/>
        <v>11.075457142857143</v>
      </c>
      <c r="I25" s="1">
        <f t="shared" si="1"/>
        <v>11.121171428571429</v>
      </c>
      <c r="J25" s="1">
        <f t="shared" si="1"/>
        <v>13.853228571428572</v>
      </c>
      <c r="K25" s="1">
        <f t="shared" si="1"/>
        <v>23.89975714285714</v>
      </c>
      <c r="L25" s="1">
        <f>AVERAGE(B25:K25)</f>
        <v>16.504860000000001</v>
      </c>
      <c r="M25" s="1">
        <f>_xlfn.STDEV.P(B25:K25)</f>
        <v>4.660390560259426</v>
      </c>
      <c r="N25" t="s">
        <v>79</v>
      </c>
    </row>
    <row r="26" spans="1:14" x14ac:dyDescent="0.3">
      <c r="B26" s="1" t="s">
        <v>23</v>
      </c>
      <c r="C26" s="1" t="s">
        <v>24</v>
      </c>
      <c r="D26" s="1" t="s">
        <v>25</v>
      </c>
      <c r="E26" s="1" t="s">
        <v>26</v>
      </c>
      <c r="F26" s="1" t="s">
        <v>27</v>
      </c>
      <c r="G26" s="1" t="s">
        <v>28</v>
      </c>
      <c r="H26" s="1" t="s">
        <v>29</v>
      </c>
      <c r="I26" s="1" t="s">
        <v>30</v>
      </c>
      <c r="J26" s="1" t="s">
        <v>31</v>
      </c>
      <c r="K26" s="1" t="s">
        <v>32</v>
      </c>
      <c r="N26" t="s">
        <v>73</v>
      </c>
    </row>
    <row r="27" spans="1:14" x14ac:dyDescent="0.3">
      <c r="B27" s="1">
        <v>188.96299999999999</v>
      </c>
      <c r="C27" s="1">
        <v>251.78800000000001</v>
      </c>
      <c r="D27" s="1">
        <v>130.70599999999999</v>
      </c>
      <c r="E27" s="1">
        <v>330.05</v>
      </c>
      <c r="F27" s="1">
        <v>422.22199999999998</v>
      </c>
      <c r="G27" s="1">
        <v>48.779000000000003</v>
      </c>
      <c r="H27" s="1">
        <v>91.728999999999999</v>
      </c>
      <c r="I27" s="1">
        <v>91.284999999999997</v>
      </c>
      <c r="J27" s="1">
        <v>105.55</v>
      </c>
      <c r="K27" s="1">
        <v>111.56100000000001</v>
      </c>
      <c r="N27" t="s">
        <v>80</v>
      </c>
    </row>
    <row r="28" spans="1:14" x14ac:dyDescent="0.3">
      <c r="B28" s="1">
        <v>18.704999999999998</v>
      </c>
      <c r="C28" s="1">
        <v>46.709000000000003</v>
      </c>
      <c r="D28" s="1">
        <v>252.499</v>
      </c>
      <c r="E28" s="1">
        <v>62.203000000000003</v>
      </c>
      <c r="F28" s="1">
        <v>218.49</v>
      </c>
      <c r="G28" s="1">
        <v>44.695</v>
      </c>
      <c r="H28" s="1">
        <v>111.92100000000001</v>
      </c>
      <c r="I28" s="1">
        <v>202.233</v>
      </c>
      <c r="J28" s="1">
        <v>85.308999999999997</v>
      </c>
      <c r="K28" s="1">
        <v>38.591000000000001</v>
      </c>
      <c r="N28" t="s">
        <v>72</v>
      </c>
    </row>
    <row r="29" spans="1:14" x14ac:dyDescent="0.3">
      <c r="B29" s="1">
        <v>18.489000000000001</v>
      </c>
      <c r="C29" s="1">
        <v>76.837999999999994</v>
      </c>
      <c r="D29" s="1">
        <v>24.035</v>
      </c>
      <c r="E29" s="1">
        <v>79.863</v>
      </c>
      <c r="F29" s="1">
        <v>56.329000000000001</v>
      </c>
      <c r="G29" s="1">
        <v>145.33000000000001</v>
      </c>
      <c r="H29" s="1">
        <v>135.916</v>
      </c>
      <c r="I29" s="1">
        <v>158.32</v>
      </c>
      <c r="J29" s="1">
        <v>55.631</v>
      </c>
      <c r="K29" s="1">
        <v>23.826000000000001</v>
      </c>
    </row>
    <row r="30" spans="1:14" x14ac:dyDescent="0.3">
      <c r="B30" s="1">
        <v>32.43</v>
      </c>
      <c r="C30" s="1">
        <v>67.375</v>
      </c>
      <c r="D30" s="1">
        <v>120.52800000000001</v>
      </c>
      <c r="E30" s="1">
        <v>275.46899999999999</v>
      </c>
      <c r="F30" s="1">
        <v>62.406999999999996</v>
      </c>
      <c r="G30" s="1">
        <v>179.11699999999999</v>
      </c>
      <c r="H30" s="1">
        <v>38.838000000000001</v>
      </c>
      <c r="I30" s="1">
        <v>81.102000000000004</v>
      </c>
      <c r="J30" s="1">
        <v>126.997</v>
      </c>
      <c r="K30" s="1">
        <v>46.012</v>
      </c>
      <c r="N30" t="s">
        <v>70</v>
      </c>
    </row>
    <row r="31" spans="1:14" x14ac:dyDescent="0.3">
      <c r="B31" s="1">
        <v>18.268999999999998</v>
      </c>
      <c r="C31" s="1">
        <v>39.265999999999998</v>
      </c>
      <c r="D31" s="1">
        <v>185.88499999999999</v>
      </c>
      <c r="E31" s="1">
        <v>101.295</v>
      </c>
      <c r="F31" s="1">
        <v>58.02</v>
      </c>
      <c r="G31" s="1">
        <v>117.92</v>
      </c>
      <c r="H31" s="1">
        <v>36.615000000000002</v>
      </c>
      <c r="I31" s="1">
        <v>59.710999999999999</v>
      </c>
      <c r="J31" s="1">
        <v>127.996</v>
      </c>
      <c r="K31" s="1">
        <v>27.329000000000001</v>
      </c>
      <c r="N31" t="s">
        <v>81</v>
      </c>
    </row>
    <row r="32" spans="1:14" x14ac:dyDescent="0.3">
      <c r="B32" s="1">
        <v>50.182000000000002</v>
      </c>
      <c r="C32" s="1">
        <v>110.726</v>
      </c>
      <c r="D32" s="1">
        <v>57.774999999999999</v>
      </c>
      <c r="E32" s="1">
        <v>54.923000000000002</v>
      </c>
      <c r="F32" s="1">
        <v>22.734999999999999</v>
      </c>
      <c r="G32" s="1">
        <v>86.212000000000003</v>
      </c>
      <c r="H32" s="1">
        <v>504.80399999999997</v>
      </c>
      <c r="I32" s="1">
        <v>86.180999999999997</v>
      </c>
      <c r="J32" s="1">
        <v>92.825999999999993</v>
      </c>
      <c r="K32" s="1">
        <v>49.542000000000002</v>
      </c>
      <c r="N32" t="s">
        <v>73</v>
      </c>
    </row>
    <row r="33" spans="1:14" x14ac:dyDescent="0.3">
      <c r="B33" s="1">
        <v>47.744</v>
      </c>
      <c r="C33" s="1">
        <v>70.515000000000001</v>
      </c>
      <c r="D33" s="1">
        <v>50.014000000000003</v>
      </c>
      <c r="E33" s="1">
        <v>137.804</v>
      </c>
      <c r="F33" s="1">
        <v>45.536000000000001</v>
      </c>
      <c r="G33" s="1">
        <v>62.04</v>
      </c>
      <c r="H33" s="1">
        <v>22.616</v>
      </c>
      <c r="I33" s="1">
        <v>44.41</v>
      </c>
      <c r="J33" s="1">
        <v>181.12</v>
      </c>
      <c r="K33" s="1">
        <v>58.914999999999999</v>
      </c>
      <c r="N33" t="s">
        <v>82</v>
      </c>
    </row>
    <row r="34" spans="1:14" x14ac:dyDescent="0.3">
      <c r="B34" s="1">
        <v>20.265000000000001</v>
      </c>
      <c r="C34" s="1">
        <v>81.19</v>
      </c>
      <c r="D34" s="1">
        <v>37.332999999999998</v>
      </c>
      <c r="E34" s="1">
        <v>50.460999999999999</v>
      </c>
      <c r="F34" s="1">
        <v>70.725999999999999</v>
      </c>
      <c r="G34" s="1">
        <v>82.379000000000005</v>
      </c>
      <c r="H34" s="1">
        <v>35.152000000000001</v>
      </c>
      <c r="I34" s="1">
        <v>63.886000000000003</v>
      </c>
      <c r="J34" s="1">
        <v>54.174999999999997</v>
      </c>
      <c r="K34" s="1">
        <v>26.466000000000001</v>
      </c>
      <c r="N34" t="s">
        <v>70</v>
      </c>
    </row>
    <row r="35" spans="1:14" x14ac:dyDescent="0.3">
      <c r="B35" s="1">
        <v>28.922999999999998</v>
      </c>
      <c r="C35" s="1">
        <v>93.09</v>
      </c>
      <c r="D35" s="1">
        <v>114.09</v>
      </c>
      <c r="E35" s="1">
        <v>170.40700000000001</v>
      </c>
      <c r="F35" s="1">
        <v>70.668999999999997</v>
      </c>
      <c r="G35" s="1">
        <v>108.06699999999999</v>
      </c>
      <c r="H35" s="1">
        <v>160.709</v>
      </c>
      <c r="I35" s="1">
        <v>50.530999999999999</v>
      </c>
      <c r="J35" s="1">
        <v>221.4</v>
      </c>
      <c r="K35" s="1">
        <v>30.92</v>
      </c>
      <c r="N35" t="s">
        <v>83</v>
      </c>
    </row>
    <row r="36" spans="1:14" x14ac:dyDescent="0.3">
      <c r="B36" s="1">
        <v>278.69499999999999</v>
      </c>
      <c r="C36" s="1">
        <v>99.427000000000007</v>
      </c>
      <c r="D36" s="1">
        <v>67.063000000000002</v>
      </c>
      <c r="E36" s="1">
        <v>47.161000000000001</v>
      </c>
      <c r="F36" s="1">
        <v>156.84200000000001</v>
      </c>
      <c r="G36" s="1">
        <v>134.07</v>
      </c>
      <c r="H36" s="1">
        <v>76.984999999999999</v>
      </c>
      <c r="I36" s="1">
        <v>422.887</v>
      </c>
      <c r="J36" s="1">
        <v>179.619</v>
      </c>
      <c r="K36" s="1">
        <v>125.937</v>
      </c>
      <c r="N36" t="s">
        <v>72</v>
      </c>
    </row>
    <row r="37" spans="1:14" x14ac:dyDescent="0.3">
      <c r="A37" s="1" t="s">
        <v>34</v>
      </c>
      <c r="B37" s="1">
        <f>AVERAGE(B27:B36)/10</f>
        <v>7.0266499999999992</v>
      </c>
      <c r="C37" s="1">
        <f t="shared" ref="C37:K37" si="2">AVERAGE(C27:C36)/10</f>
        <v>9.3692399999999996</v>
      </c>
      <c r="D37" s="1">
        <f t="shared" si="2"/>
        <v>10.399280000000001</v>
      </c>
      <c r="E37" s="1">
        <f t="shared" si="2"/>
        <v>13.096359999999999</v>
      </c>
      <c r="F37" s="1">
        <f t="shared" si="2"/>
        <v>11.839760000000002</v>
      </c>
      <c r="G37" s="1">
        <f t="shared" si="2"/>
        <v>10.086089999999999</v>
      </c>
      <c r="H37" s="1">
        <f t="shared" si="2"/>
        <v>12.152850000000001</v>
      </c>
      <c r="I37" s="1">
        <f t="shared" si="2"/>
        <v>12.605460000000001</v>
      </c>
      <c r="J37" s="1">
        <f t="shared" si="2"/>
        <v>12.306229999999998</v>
      </c>
      <c r="K37" s="1">
        <f t="shared" si="2"/>
        <v>5.3909900000000004</v>
      </c>
      <c r="L37" s="1">
        <f>AVERAGE(B37:K37)</f>
        <v>10.427291</v>
      </c>
      <c r="M37" s="1">
        <f>_xlfn.STDEV.P(B37:K37)</f>
        <v>2.419436824016902</v>
      </c>
    </row>
    <row r="38" spans="1:14" x14ac:dyDescent="0.3">
      <c r="B38" s="1" t="s">
        <v>35</v>
      </c>
      <c r="C38" s="1" t="s">
        <v>36</v>
      </c>
      <c r="D38" s="1" t="s">
        <v>37</v>
      </c>
      <c r="E38" s="1" t="s">
        <v>38</v>
      </c>
      <c r="F38" s="1" t="s">
        <v>39</v>
      </c>
      <c r="G38" s="1" t="s">
        <v>40</v>
      </c>
      <c r="H38" s="1" t="s">
        <v>41</v>
      </c>
      <c r="I38" s="1" t="s">
        <v>42</v>
      </c>
      <c r="J38" s="1" t="s">
        <v>43</v>
      </c>
      <c r="K38" s="1" t="s">
        <v>44</v>
      </c>
      <c r="N38" t="s">
        <v>73</v>
      </c>
    </row>
    <row r="39" spans="1:14" x14ac:dyDescent="0.3">
      <c r="B39" s="1">
        <v>295.66399999999999</v>
      </c>
      <c r="C39" s="1">
        <v>255.51900000000001</v>
      </c>
      <c r="D39" s="1">
        <v>374.14699999999999</v>
      </c>
      <c r="E39" s="1">
        <v>316.50799999999998</v>
      </c>
      <c r="F39" s="1">
        <v>228.04400000000001</v>
      </c>
      <c r="G39" s="1">
        <v>72.046999999999997</v>
      </c>
      <c r="H39" s="1">
        <v>23.774000000000001</v>
      </c>
      <c r="I39" s="1">
        <v>201.48</v>
      </c>
      <c r="J39" s="1">
        <v>74.866</v>
      </c>
      <c r="K39" s="1">
        <v>293.34800000000001</v>
      </c>
      <c r="N39" t="s">
        <v>84</v>
      </c>
    </row>
    <row r="40" spans="1:14" x14ac:dyDescent="0.3">
      <c r="B40" s="1">
        <v>116.364</v>
      </c>
      <c r="C40" s="1">
        <v>54.930999999999997</v>
      </c>
      <c r="D40" s="1">
        <v>157.61600000000001</v>
      </c>
      <c r="E40" s="1">
        <v>83.843999999999994</v>
      </c>
      <c r="F40" s="1">
        <v>24.253</v>
      </c>
      <c r="G40" s="1">
        <v>119.131</v>
      </c>
      <c r="H40" s="1">
        <v>26.876000000000001</v>
      </c>
      <c r="I40" s="1">
        <v>84.483999999999995</v>
      </c>
      <c r="J40" s="1">
        <v>178.68899999999999</v>
      </c>
      <c r="K40" s="1">
        <v>107.64700000000001</v>
      </c>
      <c r="N40" t="s">
        <v>70</v>
      </c>
    </row>
    <row r="41" spans="1:14" x14ac:dyDescent="0.3">
      <c r="B41" s="1">
        <v>154.375</v>
      </c>
      <c r="C41" s="1">
        <v>71.772999999999996</v>
      </c>
      <c r="D41" s="1">
        <v>69.200999999999993</v>
      </c>
      <c r="E41" s="1">
        <v>395.30099999999999</v>
      </c>
      <c r="F41" s="1">
        <v>229.495</v>
      </c>
      <c r="G41" s="1">
        <v>46.256</v>
      </c>
      <c r="H41" s="1">
        <v>169.66399999999999</v>
      </c>
      <c r="I41" s="1">
        <v>240.53700000000001</v>
      </c>
      <c r="J41" s="1">
        <v>89.405000000000001</v>
      </c>
      <c r="K41" s="1">
        <v>169.96700000000001</v>
      </c>
      <c r="N41" t="s">
        <v>85</v>
      </c>
    </row>
    <row r="42" spans="1:14" x14ac:dyDescent="0.3">
      <c r="B42" s="1">
        <v>232.06299999999999</v>
      </c>
      <c r="C42" s="1">
        <v>26.981000000000002</v>
      </c>
      <c r="D42" s="1">
        <v>56.116</v>
      </c>
      <c r="E42" s="1">
        <v>82.644000000000005</v>
      </c>
      <c r="F42" s="1">
        <v>31.337</v>
      </c>
      <c r="G42" s="1">
        <v>167.99700000000001</v>
      </c>
      <c r="H42" s="1">
        <v>37.542000000000002</v>
      </c>
      <c r="I42" s="1">
        <v>57.05</v>
      </c>
      <c r="J42" s="1">
        <v>308.80200000000002</v>
      </c>
      <c r="K42" s="1">
        <v>81.322999999999993</v>
      </c>
      <c r="N42" t="s">
        <v>72</v>
      </c>
    </row>
    <row r="43" spans="1:14" x14ac:dyDescent="0.3">
      <c r="B43" s="1">
        <v>62.143000000000001</v>
      </c>
      <c r="C43" s="1">
        <v>45.195</v>
      </c>
      <c r="D43" s="1">
        <v>88.534000000000006</v>
      </c>
      <c r="E43" s="1">
        <v>64.578000000000003</v>
      </c>
      <c r="F43" s="1">
        <v>122.11499999999999</v>
      </c>
      <c r="G43" s="1">
        <v>164.44200000000001</v>
      </c>
      <c r="H43" s="1">
        <v>109.658</v>
      </c>
      <c r="I43" s="1">
        <v>79.478999999999999</v>
      </c>
      <c r="J43" s="1">
        <v>140.001</v>
      </c>
      <c r="K43" s="1">
        <v>40.369999999999997</v>
      </c>
    </row>
    <row r="44" spans="1:14" x14ac:dyDescent="0.3">
      <c r="B44" s="1">
        <v>122.26900000000001</v>
      </c>
      <c r="C44" s="1">
        <v>46.021000000000001</v>
      </c>
      <c r="D44" s="1">
        <v>25.588999999999999</v>
      </c>
      <c r="E44" s="1">
        <v>25.120999999999999</v>
      </c>
      <c r="F44" s="1">
        <v>34.826000000000001</v>
      </c>
      <c r="G44" s="1">
        <v>120.747</v>
      </c>
      <c r="H44" s="1">
        <v>64.840999999999994</v>
      </c>
      <c r="I44" s="1">
        <v>60.014000000000003</v>
      </c>
      <c r="J44" s="1">
        <v>26.716999999999999</v>
      </c>
      <c r="K44" s="1">
        <v>77.867999999999995</v>
      </c>
      <c r="N44" t="s">
        <v>73</v>
      </c>
    </row>
    <row r="45" spans="1:14" x14ac:dyDescent="0.3">
      <c r="B45" s="1">
        <v>31.949000000000002</v>
      </c>
      <c r="C45" s="1">
        <v>48.408000000000001</v>
      </c>
      <c r="D45" s="1">
        <v>29.417000000000002</v>
      </c>
      <c r="E45" s="1">
        <v>50.756999999999998</v>
      </c>
      <c r="F45" s="1">
        <v>49.831000000000003</v>
      </c>
      <c r="G45" s="1">
        <v>46.624000000000002</v>
      </c>
      <c r="H45" s="1">
        <v>66.793999999999997</v>
      </c>
      <c r="I45" s="1">
        <v>49.225999999999999</v>
      </c>
      <c r="J45" s="1">
        <v>71.736999999999995</v>
      </c>
      <c r="K45" s="1">
        <v>31.117000000000001</v>
      </c>
      <c r="N45" t="s">
        <v>86</v>
      </c>
    </row>
    <row r="46" spans="1:14" x14ac:dyDescent="0.3">
      <c r="B46" s="1">
        <v>24.248000000000001</v>
      </c>
      <c r="C46" s="1">
        <v>73.634</v>
      </c>
      <c r="D46" s="1">
        <v>54.860999999999997</v>
      </c>
      <c r="E46" s="1">
        <v>48.51</v>
      </c>
      <c r="F46" s="1">
        <v>22.532</v>
      </c>
      <c r="G46" s="1">
        <v>81.926000000000002</v>
      </c>
      <c r="H46" s="1">
        <v>32.713000000000001</v>
      </c>
      <c r="I46" s="1">
        <v>43.597999999999999</v>
      </c>
      <c r="J46" s="1">
        <v>64.59</v>
      </c>
      <c r="K46" s="1">
        <v>47.655999999999999</v>
      </c>
      <c r="N46" t="s">
        <v>70</v>
      </c>
    </row>
    <row r="47" spans="1:14" x14ac:dyDescent="0.3">
      <c r="B47" s="1">
        <v>48.359000000000002</v>
      </c>
      <c r="C47" s="1">
        <v>35.779000000000003</v>
      </c>
      <c r="D47" s="1">
        <v>30.741</v>
      </c>
      <c r="E47" s="1">
        <v>74.108999999999995</v>
      </c>
      <c r="F47" s="1">
        <v>60.662999999999997</v>
      </c>
      <c r="G47" s="1">
        <v>324.63099999999997</v>
      </c>
      <c r="H47" s="1">
        <v>65.516000000000005</v>
      </c>
      <c r="I47" s="1">
        <v>33.194000000000003</v>
      </c>
      <c r="J47" s="1">
        <v>233.143</v>
      </c>
      <c r="K47" s="1">
        <v>282.68099999999998</v>
      </c>
      <c r="N47" t="s">
        <v>87</v>
      </c>
    </row>
    <row r="48" spans="1:14" x14ac:dyDescent="0.3">
      <c r="B48" s="1">
        <v>23.946999999999999</v>
      </c>
      <c r="C48" s="1">
        <v>101.245</v>
      </c>
      <c r="D48" s="1">
        <v>32.356000000000002</v>
      </c>
      <c r="E48" s="1">
        <v>59.085999999999999</v>
      </c>
      <c r="F48" s="1">
        <v>138.898</v>
      </c>
      <c r="G48" s="1">
        <v>83.298000000000002</v>
      </c>
      <c r="H48" s="1">
        <v>29.988</v>
      </c>
      <c r="I48" s="1">
        <v>179.58799999999999</v>
      </c>
      <c r="J48" s="1">
        <v>94.165000000000006</v>
      </c>
      <c r="K48" s="1">
        <v>91.171000000000006</v>
      </c>
      <c r="N48" t="s">
        <v>72</v>
      </c>
    </row>
    <row r="49" spans="1:14" x14ac:dyDescent="0.3">
      <c r="A49" s="1" t="s">
        <v>45</v>
      </c>
      <c r="B49" s="1">
        <f>AVERAGE(B39:B48)/13</f>
        <v>8.5490846153846132</v>
      </c>
      <c r="C49" s="1">
        <f t="shared" ref="C49:K49" si="3">AVERAGE(C39:C48)/13</f>
        <v>5.8422000000000001</v>
      </c>
      <c r="D49" s="1">
        <f t="shared" si="3"/>
        <v>7.0659846153846155</v>
      </c>
      <c r="E49" s="1">
        <f t="shared" si="3"/>
        <v>9.2342923076923071</v>
      </c>
      <c r="F49" s="1">
        <f t="shared" si="3"/>
        <v>7.2461076923076932</v>
      </c>
      <c r="G49" s="1">
        <f t="shared" si="3"/>
        <v>9.4392230769230761</v>
      </c>
      <c r="H49" s="1">
        <f t="shared" si="3"/>
        <v>4.8258923076923077</v>
      </c>
      <c r="I49" s="1">
        <f t="shared" si="3"/>
        <v>7.9126923076923061</v>
      </c>
      <c r="J49" s="1">
        <f t="shared" si="3"/>
        <v>9.8624230769230774</v>
      </c>
      <c r="K49" s="1">
        <f t="shared" si="3"/>
        <v>9.408830769230768</v>
      </c>
      <c r="L49" s="1">
        <f>AVERAGE(B49:K49)</f>
        <v>7.9386730769230756</v>
      </c>
      <c r="M49" s="1">
        <f>_xlfn.STDEV.P(B49:K49)</f>
        <v>1.596607963323291</v>
      </c>
    </row>
    <row r="50" spans="1:14" x14ac:dyDescent="0.3">
      <c r="B50" s="1" t="s">
        <v>48</v>
      </c>
      <c r="C50" s="1" t="s">
        <v>49</v>
      </c>
      <c r="D50" s="1" t="s">
        <v>50</v>
      </c>
      <c r="E50" s="1" t="s">
        <v>51</v>
      </c>
      <c r="F50" s="1" t="s">
        <v>52</v>
      </c>
      <c r="G50" s="1" t="s">
        <v>53</v>
      </c>
      <c r="H50" s="1" t="s">
        <v>54</v>
      </c>
      <c r="I50" s="1" t="s">
        <v>55</v>
      </c>
      <c r="J50" s="1" t="s">
        <v>56</v>
      </c>
      <c r="K50" s="1" t="s">
        <v>57</v>
      </c>
      <c r="N50" t="s">
        <v>73</v>
      </c>
    </row>
    <row r="51" spans="1:14" x14ac:dyDescent="0.3">
      <c r="B51" s="1">
        <v>111.095</v>
      </c>
      <c r="C51" s="1">
        <v>131.042</v>
      </c>
      <c r="D51" s="1">
        <v>151.727</v>
      </c>
      <c r="E51" s="1">
        <v>94.192999999999998</v>
      </c>
      <c r="F51" s="1">
        <v>168.90199999999999</v>
      </c>
      <c r="G51" s="1">
        <v>284.19600000000003</v>
      </c>
      <c r="H51" s="1">
        <v>435.35899999999998</v>
      </c>
      <c r="I51" s="1">
        <v>229.65700000000001</v>
      </c>
      <c r="J51" s="1">
        <v>214.46199999999999</v>
      </c>
      <c r="K51" s="1">
        <v>38.506999999999998</v>
      </c>
      <c r="N51" t="s">
        <v>88</v>
      </c>
    </row>
    <row r="52" spans="1:14" x14ac:dyDescent="0.3">
      <c r="B52" s="1">
        <v>111.18899999999999</v>
      </c>
      <c r="C52" s="1">
        <v>64.424999999999997</v>
      </c>
      <c r="D52" s="1">
        <v>49.267000000000003</v>
      </c>
      <c r="E52" s="1">
        <v>130.762</v>
      </c>
      <c r="F52" s="1">
        <v>32.887</v>
      </c>
      <c r="G52" s="1">
        <v>95.700999999999993</v>
      </c>
      <c r="H52" s="1">
        <v>156.749</v>
      </c>
      <c r="I52" s="1">
        <v>100.261</v>
      </c>
      <c r="J52" s="1">
        <v>88.784999999999997</v>
      </c>
      <c r="K52" s="1">
        <v>116.185</v>
      </c>
      <c r="N52" t="s">
        <v>70</v>
      </c>
    </row>
    <row r="53" spans="1:14" x14ac:dyDescent="0.3">
      <c r="B53" s="1">
        <v>36.375999999999998</v>
      </c>
      <c r="C53" s="1">
        <v>143.33099999999999</v>
      </c>
      <c r="D53" s="1">
        <v>141.99799999999999</v>
      </c>
      <c r="E53" s="1">
        <v>137.37</v>
      </c>
      <c r="F53" s="1">
        <v>99.010999999999996</v>
      </c>
      <c r="G53" s="1">
        <v>109.619</v>
      </c>
      <c r="H53" s="1">
        <v>70.728999999999999</v>
      </c>
      <c r="I53" s="1">
        <v>133.47900000000001</v>
      </c>
      <c r="J53" s="1">
        <v>98.436999999999998</v>
      </c>
      <c r="K53" s="1">
        <v>56.27</v>
      </c>
      <c r="N53" t="s">
        <v>89</v>
      </c>
    </row>
    <row r="54" spans="1:14" x14ac:dyDescent="0.3">
      <c r="B54" s="1">
        <v>46.710999999999999</v>
      </c>
      <c r="C54" s="1">
        <v>28.207000000000001</v>
      </c>
      <c r="D54" s="1">
        <v>78.578000000000003</v>
      </c>
      <c r="E54" s="1">
        <v>121.61199999999999</v>
      </c>
      <c r="F54" s="1">
        <v>47.496000000000002</v>
      </c>
      <c r="G54" s="1">
        <v>79.022000000000006</v>
      </c>
      <c r="H54" s="1">
        <v>108.855</v>
      </c>
      <c r="I54" s="1">
        <v>28.116</v>
      </c>
      <c r="J54" s="1">
        <v>151.53299999999999</v>
      </c>
      <c r="K54" s="1">
        <v>146.999</v>
      </c>
      <c r="N54" t="s">
        <v>72</v>
      </c>
    </row>
    <row r="55" spans="1:14" x14ac:dyDescent="0.3">
      <c r="B55" s="1">
        <v>115.42400000000001</v>
      </c>
      <c r="C55" s="1">
        <v>110.955</v>
      </c>
      <c r="D55" s="1">
        <v>41.003</v>
      </c>
      <c r="E55" s="1">
        <v>59.414000000000001</v>
      </c>
      <c r="F55" s="1">
        <v>26.617000000000001</v>
      </c>
      <c r="G55" s="1">
        <v>47.151000000000003</v>
      </c>
      <c r="H55" s="1">
        <v>66.900000000000006</v>
      </c>
      <c r="I55" s="1">
        <v>27.366</v>
      </c>
      <c r="J55" s="1">
        <v>45.6</v>
      </c>
      <c r="K55" s="1">
        <v>108.47499999999999</v>
      </c>
    </row>
    <row r="56" spans="1:14" x14ac:dyDescent="0.3">
      <c r="B56" s="1">
        <v>97.914000000000001</v>
      </c>
      <c r="C56" s="1">
        <v>26.992000000000001</v>
      </c>
      <c r="D56" s="1">
        <v>108.482</v>
      </c>
      <c r="E56" s="1">
        <v>86.097999999999999</v>
      </c>
      <c r="F56" s="1">
        <v>117.911</v>
      </c>
      <c r="G56" s="1">
        <v>61.725999999999999</v>
      </c>
      <c r="H56" s="1">
        <v>46.448</v>
      </c>
      <c r="I56" s="1">
        <v>77.881</v>
      </c>
      <c r="J56" s="1">
        <v>109.81399999999999</v>
      </c>
      <c r="K56" s="1">
        <v>42.195999999999998</v>
      </c>
      <c r="N56" t="s">
        <v>73</v>
      </c>
    </row>
    <row r="57" spans="1:14" x14ac:dyDescent="0.3">
      <c r="B57" s="1">
        <v>81.539000000000001</v>
      </c>
      <c r="C57" s="1">
        <v>26.408000000000001</v>
      </c>
      <c r="D57" s="1">
        <v>76.388000000000005</v>
      </c>
      <c r="E57" s="1">
        <v>60.591000000000001</v>
      </c>
      <c r="F57" s="1">
        <v>126.47499999999999</v>
      </c>
      <c r="G57" s="1">
        <v>76.352999999999994</v>
      </c>
      <c r="H57" s="1">
        <v>62.582999999999998</v>
      </c>
      <c r="I57" s="1">
        <v>84.155000000000001</v>
      </c>
      <c r="J57" s="1">
        <v>83.245999999999995</v>
      </c>
      <c r="K57" s="1">
        <v>67.533000000000001</v>
      </c>
      <c r="N57" t="s">
        <v>90</v>
      </c>
    </row>
    <row r="58" spans="1:14" x14ac:dyDescent="0.3">
      <c r="B58" s="1">
        <v>51.756999999999998</v>
      </c>
      <c r="C58" s="1">
        <v>42.064999999999998</v>
      </c>
      <c r="D58" s="1">
        <v>36.698</v>
      </c>
      <c r="E58" s="1">
        <v>147.54499999999999</v>
      </c>
      <c r="F58" s="1">
        <v>192.155</v>
      </c>
      <c r="G58" s="1">
        <v>56.802</v>
      </c>
      <c r="H58" s="1">
        <v>113.648</v>
      </c>
      <c r="I58" s="1">
        <v>63.131</v>
      </c>
      <c r="J58" s="1">
        <v>106.636</v>
      </c>
      <c r="K58" s="1">
        <v>78.254999999999995</v>
      </c>
      <c r="N58" t="s">
        <v>72</v>
      </c>
    </row>
    <row r="59" spans="1:14" x14ac:dyDescent="0.3">
      <c r="B59" s="1">
        <v>42.21</v>
      </c>
      <c r="C59" s="1">
        <v>28.934999999999999</v>
      </c>
      <c r="D59" s="1">
        <v>108.581</v>
      </c>
      <c r="E59" s="1">
        <v>44.475999999999999</v>
      </c>
      <c r="F59" s="1">
        <v>139.14699999999999</v>
      </c>
      <c r="G59" s="1">
        <v>49.201999999999998</v>
      </c>
      <c r="H59" s="1">
        <v>96.596999999999994</v>
      </c>
      <c r="I59" s="1">
        <v>64.317999999999998</v>
      </c>
      <c r="J59" s="1">
        <v>108.527</v>
      </c>
      <c r="K59" s="1">
        <v>90.492000000000004</v>
      </c>
    </row>
    <row r="60" spans="1:14" x14ac:dyDescent="0.3">
      <c r="B60" s="1">
        <v>63.393999999999998</v>
      </c>
      <c r="C60" s="1">
        <v>115.033</v>
      </c>
      <c r="D60" s="1">
        <v>67.096999999999994</v>
      </c>
      <c r="E60" s="1">
        <v>27.073</v>
      </c>
      <c r="F60" s="1">
        <v>41.817</v>
      </c>
      <c r="G60" s="1">
        <v>27.728999999999999</v>
      </c>
      <c r="H60" s="1">
        <v>51.234999999999999</v>
      </c>
      <c r="I60" s="1">
        <v>193.44</v>
      </c>
      <c r="J60" s="1">
        <v>30.533999999999999</v>
      </c>
      <c r="K60" s="1">
        <v>30.298999999999999</v>
      </c>
      <c r="N60" t="s">
        <v>70</v>
      </c>
    </row>
    <row r="61" spans="1:14" x14ac:dyDescent="0.3">
      <c r="A61" s="1" t="s">
        <v>46</v>
      </c>
      <c r="B61" s="1">
        <f>AVERAGE(B51:B60)/15</f>
        <v>5.0507266666666659</v>
      </c>
      <c r="C61" s="1">
        <f t="shared" ref="C61:K61" si="4">AVERAGE(C51:C60)/15</f>
        <v>4.7826199999999988</v>
      </c>
      <c r="D61" s="1">
        <f t="shared" si="4"/>
        <v>5.7321266666666668</v>
      </c>
      <c r="E61" s="1">
        <f t="shared" si="4"/>
        <v>6.0608933333333335</v>
      </c>
      <c r="F61" s="1">
        <f t="shared" si="4"/>
        <v>6.6161199999999987</v>
      </c>
      <c r="G61" s="1">
        <f t="shared" si="4"/>
        <v>5.9166733333333337</v>
      </c>
      <c r="H61" s="1">
        <f t="shared" si="4"/>
        <v>8.0606866666666654</v>
      </c>
      <c r="I61" s="1">
        <f t="shared" si="4"/>
        <v>6.6786933333333325</v>
      </c>
      <c r="J61" s="1">
        <f t="shared" si="4"/>
        <v>6.91716</v>
      </c>
      <c r="K61" s="1">
        <f t="shared" si="4"/>
        <v>5.168073333333334</v>
      </c>
      <c r="L61" s="1">
        <f>AVERAGE(B61:K61)</f>
        <v>6.0983773333333327</v>
      </c>
      <c r="M61" s="1">
        <f>_xlfn.STDEV.P(B61:K61)</f>
        <v>0.94808769954964633</v>
      </c>
      <c r="N61" t="s">
        <v>91</v>
      </c>
    </row>
    <row r="62" spans="1:14" x14ac:dyDescent="0.3">
      <c r="B62" s="1" t="s">
        <v>58</v>
      </c>
      <c r="C62" s="1" t="s">
        <v>59</v>
      </c>
      <c r="D62" s="1" t="s">
        <v>60</v>
      </c>
      <c r="E62" s="1" t="s">
        <v>61</v>
      </c>
      <c r="F62" s="1" t="s">
        <v>62</v>
      </c>
      <c r="G62" s="1" t="s">
        <v>63</v>
      </c>
      <c r="H62" s="1" t="s">
        <v>64</v>
      </c>
      <c r="I62" s="1" t="s">
        <v>65</v>
      </c>
      <c r="J62" s="1" t="s">
        <v>66</v>
      </c>
      <c r="K62" s="1" t="s">
        <v>67</v>
      </c>
      <c r="N62" t="s">
        <v>73</v>
      </c>
    </row>
    <row r="63" spans="1:14" x14ac:dyDescent="0.3">
      <c r="B63" s="1">
        <v>62.436999999999998</v>
      </c>
      <c r="N63" t="s">
        <v>92</v>
      </c>
    </row>
    <row r="64" spans="1:14" x14ac:dyDescent="0.3">
      <c r="B64" s="1">
        <v>82.191000000000003</v>
      </c>
      <c r="N64" t="s">
        <v>33</v>
      </c>
    </row>
    <row r="65" spans="1:13" x14ac:dyDescent="0.3">
      <c r="B65" s="1">
        <v>153.62899999999999</v>
      </c>
    </row>
    <row r="66" spans="1:13" x14ac:dyDescent="0.3">
      <c r="B66" s="1">
        <v>63.564</v>
      </c>
    </row>
    <row r="67" spans="1:13" x14ac:dyDescent="0.3">
      <c r="B67" s="1">
        <v>44.814</v>
      </c>
    </row>
    <row r="68" spans="1:13" x14ac:dyDescent="0.3">
      <c r="B68" s="1">
        <v>25.991</v>
      </c>
    </row>
    <row r="69" spans="1:13" x14ac:dyDescent="0.3">
      <c r="B69" s="1">
        <v>79.977999999999994</v>
      </c>
    </row>
    <row r="70" spans="1:13" x14ac:dyDescent="0.3">
      <c r="B70" s="1">
        <v>31.571999999999999</v>
      </c>
    </row>
    <row r="71" spans="1:13" x14ac:dyDescent="0.3">
      <c r="B71" s="1">
        <v>106.538</v>
      </c>
    </row>
    <row r="72" spans="1:13" x14ac:dyDescent="0.3">
      <c r="B72" s="1">
        <v>65.570999999999998</v>
      </c>
    </row>
    <row r="73" spans="1:13" x14ac:dyDescent="0.3">
      <c r="A73" s="1" t="s">
        <v>47</v>
      </c>
      <c r="B73" s="1">
        <f>AVERAGE(B63:B72)/17</f>
        <v>4.2134411764705888</v>
      </c>
      <c r="C73" s="1" t="e">
        <f t="shared" ref="C73:K73" si="5">AVERAGE(C63:C72)/17</f>
        <v>#DIV/0!</v>
      </c>
      <c r="D73" s="1" t="e">
        <f t="shared" si="5"/>
        <v>#DIV/0!</v>
      </c>
      <c r="E73" s="1" t="e">
        <f t="shared" si="5"/>
        <v>#DIV/0!</v>
      </c>
      <c r="F73" s="1" t="e">
        <f t="shared" si="5"/>
        <v>#DIV/0!</v>
      </c>
      <c r="G73" s="1" t="e">
        <f t="shared" si="5"/>
        <v>#DIV/0!</v>
      </c>
      <c r="H73" s="1" t="e">
        <f t="shared" si="5"/>
        <v>#DIV/0!</v>
      </c>
      <c r="I73" s="1" t="e">
        <f t="shared" si="5"/>
        <v>#DIV/0!</v>
      </c>
      <c r="J73" s="1" t="e">
        <f t="shared" si="5"/>
        <v>#DIV/0!</v>
      </c>
      <c r="K73" s="1" t="e">
        <f t="shared" si="5"/>
        <v>#DIV/0!</v>
      </c>
      <c r="L73" s="1" t="e">
        <f>AVERAGE(B73:K73)</f>
        <v>#DIV/0!</v>
      </c>
      <c r="M73" s="1" t="e">
        <f>_xlfn.STDEV.P(B73:K73)</f>
        <v>#DIV/0!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H8" sqref="H8"/>
    </sheetView>
  </sheetViews>
  <sheetFormatPr defaultRowHeight="14.4" x14ac:dyDescent="0.3"/>
  <cols>
    <col min="1" max="2" width="8.88671875" style="1"/>
  </cols>
  <sheetData>
    <row r="1" spans="1:4" x14ac:dyDescent="0.3">
      <c r="A1" s="1" t="s">
        <v>0</v>
      </c>
      <c r="B1" s="1" t="s">
        <v>129</v>
      </c>
    </row>
    <row r="2" spans="1:4" x14ac:dyDescent="0.3">
      <c r="A2" s="1">
        <v>5</v>
      </c>
      <c r="B2" s="1">
        <f>CNF!L13</f>
        <v>64.778512000000006</v>
      </c>
      <c r="C2" s="1">
        <f>CNF!M13</f>
        <v>13.453154785037427</v>
      </c>
      <c r="D2" s="1"/>
    </row>
    <row r="3" spans="1:4" x14ac:dyDescent="0.3">
      <c r="A3" s="1">
        <v>7</v>
      </c>
      <c r="B3" s="1">
        <f>CNF!L25</f>
        <v>203.31133</v>
      </c>
      <c r="C3" s="1">
        <f>CNF!M25</f>
        <v>98.351077292368046</v>
      </c>
    </row>
    <row r="4" spans="1:4" x14ac:dyDescent="0.3">
      <c r="A4" s="1">
        <v>10</v>
      </c>
      <c r="B4" s="1">
        <f>CNF!L37</f>
        <v>1757.741573</v>
      </c>
      <c r="C4" s="1">
        <f>CNF!M37</f>
        <v>624.97978107822291</v>
      </c>
    </row>
    <row r="5" spans="1:4" x14ac:dyDescent="0.3">
      <c r="A5" s="1">
        <v>13</v>
      </c>
      <c r="B5" s="1">
        <f>CNF!L49</f>
        <v>63540.336117692306</v>
      </c>
      <c r="C5" s="1">
        <f>CNF!M49</f>
        <v>44710.528540000756</v>
      </c>
    </row>
    <row r="6" spans="1:4" x14ac:dyDescent="0.3">
      <c r="A6" s="1">
        <v>15</v>
      </c>
      <c r="B6" s="1">
        <f>CNF!L61</f>
        <v>85453.636851999996</v>
      </c>
      <c r="C6" s="1">
        <f>CNF!M61</f>
        <v>84396.254731271387</v>
      </c>
    </row>
    <row r="7" spans="1:4" x14ac:dyDescent="0.3">
      <c r="A7" s="1">
        <v>17</v>
      </c>
      <c r="B7" s="1">
        <f>CNF!L73</f>
        <v>1292721.0532511766</v>
      </c>
      <c r="C7" s="1">
        <f>CNF!M73</f>
        <v>1032348.247356174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CNF</vt:lpstr>
      <vt:lpstr>APP1</vt:lpstr>
      <vt:lpstr>APP2</vt:lpstr>
      <vt:lpstr>Processed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2018-12-01T05:26:50Z</dcterms:created>
  <dcterms:modified xsi:type="dcterms:W3CDTF">2018-12-01T09:43:52Z</dcterms:modified>
</cp:coreProperties>
</file>